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mtariq/Documents/InsightPulse/JITP_2026/Master_File/N9/"/>
    </mc:Choice>
  </mc:AlternateContent>
  <xr:revisionPtr revIDLastSave="0" documentId="13_ncr:1_{6978157E-C825-C04F-8D3F-B6D2F71D450C}" xr6:coauthVersionLast="47" xr6:coauthVersionMax="47" xr10:uidLastSave="{00000000-0000-0000-0000-000000000000}"/>
  <bookViews>
    <workbookView xWindow="0" yWindow="660" windowWidth="30240" windowHeight="18980" tabRatio="746" xr2:uid="{C23F1638-F252-4299-B8CE-D8A2BAAA7701}"/>
  </bookViews>
  <sheets>
    <sheet name="Demogradi semua DUN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G3" i="1"/>
  <c r="H3" i="1"/>
  <c r="I3" i="1"/>
  <c r="J3" i="1"/>
  <c r="K3" i="1"/>
  <c r="L3" i="1"/>
  <c r="M3" i="1"/>
  <c r="N3" i="1"/>
  <c r="O3" i="1"/>
  <c r="P3" i="1"/>
  <c r="Q3" i="1"/>
  <c r="F4" i="1"/>
  <c r="G4" i="1"/>
  <c r="H4" i="1"/>
  <c r="I4" i="1"/>
  <c r="J4" i="1"/>
  <c r="K4" i="1"/>
  <c r="L4" i="1"/>
  <c r="M4" i="1"/>
  <c r="N4" i="1"/>
  <c r="O4" i="1"/>
  <c r="P4" i="1"/>
  <c r="Q4" i="1"/>
  <c r="F5" i="1"/>
  <c r="G5" i="1"/>
  <c r="H5" i="1"/>
  <c r="I5" i="1"/>
  <c r="J5" i="1"/>
  <c r="K5" i="1"/>
  <c r="L5" i="1"/>
  <c r="M5" i="1"/>
  <c r="N5" i="1"/>
  <c r="O5" i="1"/>
  <c r="P5" i="1"/>
  <c r="Q5" i="1"/>
  <c r="F6" i="1"/>
  <c r="G6" i="1"/>
  <c r="H6" i="1"/>
  <c r="I6" i="1"/>
  <c r="J6" i="1"/>
  <c r="K6" i="1"/>
  <c r="L6" i="1"/>
  <c r="M6" i="1"/>
  <c r="N6" i="1"/>
  <c r="O6" i="1"/>
  <c r="P6" i="1"/>
  <c r="Q6" i="1"/>
  <c r="F7" i="1"/>
  <c r="G7" i="1"/>
  <c r="H7" i="1"/>
  <c r="I7" i="1"/>
  <c r="J7" i="1"/>
  <c r="K7" i="1"/>
  <c r="L7" i="1"/>
  <c r="M7" i="1"/>
  <c r="N7" i="1"/>
  <c r="O7" i="1"/>
  <c r="P7" i="1"/>
  <c r="Q7" i="1"/>
  <c r="F8" i="1"/>
  <c r="G8" i="1"/>
  <c r="H8" i="1"/>
  <c r="I8" i="1"/>
  <c r="J8" i="1"/>
  <c r="K8" i="1"/>
  <c r="L8" i="1"/>
  <c r="M8" i="1"/>
  <c r="N8" i="1"/>
  <c r="O8" i="1"/>
  <c r="P8" i="1"/>
  <c r="Q8" i="1"/>
  <c r="F9" i="1"/>
  <c r="G9" i="1"/>
  <c r="H9" i="1"/>
  <c r="I9" i="1"/>
  <c r="J9" i="1"/>
  <c r="K9" i="1"/>
  <c r="L9" i="1"/>
  <c r="M9" i="1"/>
  <c r="N9" i="1"/>
  <c r="O9" i="1"/>
  <c r="P9" i="1"/>
  <c r="Q9" i="1"/>
  <c r="F10" i="1"/>
  <c r="G10" i="1"/>
  <c r="H10" i="1"/>
  <c r="I10" i="1"/>
  <c r="J10" i="1"/>
  <c r="K10" i="1"/>
  <c r="L10" i="1"/>
  <c r="M10" i="1"/>
  <c r="N10" i="1"/>
  <c r="O10" i="1"/>
  <c r="P10" i="1"/>
  <c r="Q10" i="1"/>
  <c r="F11" i="1"/>
  <c r="G11" i="1"/>
  <c r="H11" i="1"/>
  <c r="I11" i="1"/>
  <c r="J11" i="1"/>
  <c r="K11" i="1"/>
  <c r="L11" i="1"/>
  <c r="M11" i="1"/>
  <c r="N11" i="1"/>
  <c r="O11" i="1"/>
  <c r="P11" i="1"/>
  <c r="Q11" i="1"/>
  <c r="F12" i="1"/>
  <c r="G12" i="1"/>
  <c r="H12" i="1"/>
  <c r="I12" i="1"/>
  <c r="J12" i="1"/>
  <c r="K12" i="1"/>
  <c r="L12" i="1"/>
  <c r="M12" i="1"/>
  <c r="N12" i="1"/>
  <c r="O12" i="1"/>
  <c r="P12" i="1"/>
  <c r="Q12" i="1"/>
  <c r="F13" i="1"/>
  <c r="G13" i="1"/>
  <c r="H13" i="1"/>
  <c r="I13" i="1"/>
  <c r="J13" i="1"/>
  <c r="K13" i="1"/>
  <c r="L13" i="1"/>
  <c r="M13" i="1"/>
  <c r="N13" i="1"/>
  <c r="O13" i="1"/>
  <c r="P13" i="1"/>
  <c r="Q13" i="1"/>
  <c r="F14" i="1"/>
  <c r="G14" i="1"/>
  <c r="H14" i="1"/>
  <c r="I14" i="1"/>
  <c r="J14" i="1"/>
  <c r="K14" i="1"/>
  <c r="L14" i="1"/>
  <c r="M14" i="1"/>
  <c r="N14" i="1"/>
  <c r="O14" i="1"/>
  <c r="P14" i="1"/>
  <c r="Q14" i="1"/>
  <c r="F15" i="1"/>
  <c r="G15" i="1"/>
  <c r="H15" i="1"/>
  <c r="I15" i="1"/>
  <c r="J15" i="1"/>
  <c r="K15" i="1"/>
  <c r="L15" i="1"/>
  <c r="M15" i="1"/>
  <c r="N15" i="1"/>
  <c r="O15" i="1"/>
  <c r="P15" i="1"/>
  <c r="Q15" i="1"/>
  <c r="F16" i="1"/>
  <c r="G16" i="1"/>
  <c r="H16" i="1"/>
  <c r="I16" i="1"/>
  <c r="J16" i="1"/>
  <c r="K16" i="1"/>
  <c r="L16" i="1"/>
  <c r="M16" i="1"/>
  <c r="N16" i="1"/>
  <c r="O16" i="1"/>
  <c r="P16" i="1"/>
  <c r="Q16" i="1"/>
  <c r="F17" i="1"/>
  <c r="G17" i="1"/>
  <c r="H17" i="1"/>
  <c r="I17" i="1"/>
  <c r="J17" i="1"/>
  <c r="K17" i="1"/>
  <c r="L17" i="1"/>
  <c r="M17" i="1"/>
  <c r="N17" i="1"/>
  <c r="O17" i="1"/>
  <c r="P17" i="1"/>
  <c r="Q17" i="1"/>
  <c r="F18" i="1"/>
  <c r="G18" i="1"/>
  <c r="H18" i="1"/>
  <c r="I18" i="1"/>
  <c r="J18" i="1"/>
  <c r="K18" i="1"/>
  <c r="L18" i="1"/>
  <c r="M18" i="1"/>
  <c r="N18" i="1"/>
  <c r="O18" i="1"/>
  <c r="P18" i="1"/>
  <c r="Q18" i="1"/>
  <c r="F19" i="1"/>
  <c r="G19" i="1"/>
  <c r="H19" i="1"/>
  <c r="I19" i="1"/>
  <c r="J19" i="1"/>
  <c r="K19" i="1"/>
  <c r="L19" i="1"/>
  <c r="M19" i="1"/>
  <c r="N19" i="1"/>
  <c r="O19" i="1"/>
  <c r="P19" i="1"/>
  <c r="Q19" i="1"/>
  <c r="F20" i="1"/>
  <c r="G20" i="1"/>
  <c r="H20" i="1"/>
  <c r="I20" i="1"/>
  <c r="J20" i="1"/>
  <c r="K20" i="1"/>
  <c r="L20" i="1"/>
  <c r="M20" i="1"/>
  <c r="N20" i="1"/>
  <c r="O20" i="1"/>
  <c r="P20" i="1"/>
  <c r="Q20" i="1"/>
  <c r="F21" i="1"/>
  <c r="G21" i="1"/>
  <c r="H21" i="1"/>
  <c r="I21" i="1"/>
  <c r="J21" i="1"/>
  <c r="K21" i="1"/>
  <c r="L21" i="1"/>
  <c r="M21" i="1"/>
  <c r="N21" i="1"/>
  <c r="O21" i="1"/>
  <c r="P21" i="1"/>
  <c r="Q21" i="1"/>
  <c r="F22" i="1"/>
  <c r="G22" i="1"/>
  <c r="H22" i="1"/>
  <c r="I22" i="1"/>
  <c r="J22" i="1"/>
  <c r="K22" i="1"/>
  <c r="L22" i="1"/>
  <c r="M22" i="1"/>
  <c r="N22" i="1"/>
  <c r="O22" i="1"/>
  <c r="P22" i="1"/>
  <c r="Q22" i="1"/>
  <c r="F23" i="1"/>
  <c r="G23" i="1"/>
  <c r="H23" i="1"/>
  <c r="I23" i="1"/>
  <c r="J23" i="1"/>
  <c r="K23" i="1"/>
  <c r="L23" i="1"/>
  <c r="M23" i="1"/>
  <c r="N23" i="1"/>
  <c r="O23" i="1"/>
  <c r="P23" i="1"/>
  <c r="Q23" i="1"/>
  <c r="F24" i="1"/>
  <c r="G24" i="1"/>
  <c r="H24" i="1"/>
  <c r="I24" i="1"/>
  <c r="J24" i="1"/>
  <c r="K24" i="1"/>
  <c r="L24" i="1"/>
  <c r="M24" i="1"/>
  <c r="N24" i="1"/>
  <c r="O24" i="1"/>
  <c r="P24" i="1"/>
  <c r="Q24" i="1"/>
  <c r="F25" i="1"/>
  <c r="G25" i="1"/>
  <c r="H25" i="1"/>
  <c r="I25" i="1"/>
  <c r="J25" i="1"/>
  <c r="K25" i="1"/>
  <c r="L25" i="1"/>
  <c r="M25" i="1"/>
  <c r="N25" i="1"/>
  <c r="O25" i="1"/>
  <c r="P25" i="1"/>
  <c r="Q25" i="1"/>
  <c r="F26" i="1"/>
  <c r="G26" i="1"/>
  <c r="H26" i="1"/>
  <c r="I26" i="1"/>
  <c r="J26" i="1"/>
  <c r="K26" i="1"/>
  <c r="L26" i="1"/>
  <c r="M26" i="1"/>
  <c r="N26" i="1"/>
  <c r="O26" i="1"/>
  <c r="P26" i="1"/>
  <c r="Q26" i="1"/>
  <c r="F27" i="1"/>
  <c r="G27" i="1"/>
  <c r="H27" i="1"/>
  <c r="I27" i="1"/>
  <c r="J27" i="1"/>
  <c r="K27" i="1"/>
  <c r="L27" i="1"/>
  <c r="M27" i="1"/>
  <c r="N27" i="1"/>
  <c r="O27" i="1"/>
  <c r="P27" i="1"/>
  <c r="Q27" i="1"/>
  <c r="F28" i="1"/>
  <c r="G28" i="1"/>
  <c r="H28" i="1"/>
  <c r="I28" i="1"/>
  <c r="J28" i="1"/>
  <c r="K28" i="1"/>
  <c r="L28" i="1"/>
  <c r="M28" i="1"/>
  <c r="N28" i="1"/>
  <c r="O28" i="1"/>
  <c r="P28" i="1"/>
  <c r="Q28" i="1"/>
  <c r="F29" i="1"/>
  <c r="G29" i="1"/>
  <c r="H29" i="1"/>
  <c r="I29" i="1"/>
  <c r="J29" i="1"/>
  <c r="K29" i="1"/>
  <c r="L29" i="1"/>
  <c r="M29" i="1"/>
  <c r="N29" i="1"/>
  <c r="O29" i="1"/>
  <c r="P29" i="1"/>
  <c r="Q29" i="1"/>
  <c r="F30" i="1"/>
  <c r="G30" i="1"/>
  <c r="H30" i="1"/>
  <c r="I30" i="1"/>
  <c r="J30" i="1"/>
  <c r="K30" i="1"/>
  <c r="L30" i="1"/>
  <c r="M30" i="1"/>
  <c r="N30" i="1"/>
  <c r="O30" i="1"/>
  <c r="P30" i="1"/>
  <c r="Q30" i="1"/>
  <c r="F31" i="1"/>
  <c r="G31" i="1"/>
  <c r="H31" i="1"/>
  <c r="I31" i="1"/>
  <c r="J31" i="1"/>
  <c r="K31" i="1"/>
  <c r="L31" i="1"/>
  <c r="M31" i="1"/>
  <c r="N31" i="1"/>
  <c r="O31" i="1"/>
  <c r="P31" i="1"/>
  <c r="Q31" i="1"/>
  <c r="F32" i="1"/>
  <c r="G32" i="1"/>
  <c r="H32" i="1"/>
  <c r="I32" i="1"/>
  <c r="J32" i="1"/>
  <c r="K32" i="1"/>
  <c r="L32" i="1"/>
  <c r="M32" i="1"/>
  <c r="N32" i="1"/>
  <c r="O32" i="1"/>
  <c r="P32" i="1"/>
  <c r="Q32" i="1"/>
  <c r="F33" i="1"/>
  <c r="G33" i="1"/>
  <c r="H33" i="1"/>
  <c r="I33" i="1"/>
  <c r="J33" i="1"/>
  <c r="K33" i="1"/>
  <c r="L33" i="1"/>
  <c r="M33" i="1"/>
  <c r="N33" i="1"/>
  <c r="O33" i="1"/>
  <c r="P33" i="1"/>
  <c r="Q33" i="1"/>
  <c r="F34" i="1"/>
  <c r="G34" i="1"/>
  <c r="H34" i="1"/>
  <c r="I34" i="1"/>
  <c r="J34" i="1"/>
  <c r="K34" i="1"/>
  <c r="L34" i="1"/>
  <c r="M34" i="1"/>
  <c r="N34" i="1"/>
  <c r="O34" i="1"/>
  <c r="P34" i="1"/>
  <c r="Q34" i="1"/>
  <c r="F35" i="1"/>
  <c r="G35" i="1"/>
  <c r="H35" i="1"/>
  <c r="I35" i="1"/>
  <c r="J35" i="1"/>
  <c r="K35" i="1"/>
  <c r="L35" i="1"/>
  <c r="M35" i="1"/>
  <c r="N35" i="1"/>
  <c r="O35" i="1"/>
  <c r="P35" i="1"/>
  <c r="Q35" i="1"/>
  <c r="F36" i="1"/>
  <c r="G36" i="1"/>
  <c r="H36" i="1"/>
  <c r="I36" i="1"/>
  <c r="J36" i="1"/>
  <c r="K36" i="1"/>
  <c r="L36" i="1"/>
  <c r="M36" i="1"/>
  <c r="N36" i="1"/>
  <c r="O36" i="1"/>
  <c r="P36" i="1"/>
  <c r="Q36" i="1"/>
  <c r="F37" i="1"/>
  <c r="G37" i="1"/>
  <c r="H37" i="1"/>
  <c r="I37" i="1"/>
  <c r="J37" i="1"/>
  <c r="K37" i="1"/>
  <c r="L37" i="1"/>
  <c r="M37" i="1"/>
  <c r="N37" i="1"/>
  <c r="O37" i="1"/>
  <c r="P37" i="1"/>
  <c r="Q37" i="1"/>
  <c r="F38" i="1"/>
  <c r="G38" i="1"/>
  <c r="H38" i="1"/>
  <c r="I38" i="1"/>
  <c r="J38" i="1"/>
  <c r="K38" i="1"/>
  <c r="L38" i="1"/>
  <c r="M38" i="1"/>
  <c r="N38" i="1"/>
  <c r="O38" i="1"/>
  <c r="P38" i="1"/>
  <c r="Q38" i="1"/>
  <c r="E35" i="1"/>
  <c r="D35" i="1"/>
  <c r="C35" i="1"/>
  <c r="E25" i="1"/>
  <c r="D25" i="1"/>
  <c r="C25" i="1"/>
  <c r="E6" i="1"/>
  <c r="D6" i="1"/>
  <c r="C6" i="1"/>
  <c r="E26" i="1"/>
  <c r="D26" i="1"/>
  <c r="C26" i="1"/>
  <c r="C12" i="1"/>
  <c r="D12" i="1"/>
  <c r="E12" i="1"/>
  <c r="C19" i="1"/>
  <c r="D19" i="1"/>
  <c r="E19" i="1"/>
  <c r="C9" i="1"/>
  <c r="D9" i="1"/>
  <c r="E9" i="1"/>
  <c r="C4" i="1"/>
  <c r="D4" i="1"/>
  <c r="E4" i="1"/>
  <c r="C29" i="1"/>
  <c r="D29" i="1"/>
  <c r="E29" i="1"/>
  <c r="E16" i="1"/>
  <c r="D16" i="1"/>
  <c r="C16" i="1"/>
  <c r="E11" i="1"/>
  <c r="D11" i="1"/>
  <c r="C11" i="1"/>
  <c r="C33" i="1"/>
  <c r="D33" i="1"/>
  <c r="E33" i="1"/>
  <c r="C27" i="1"/>
  <c r="D27" i="1"/>
  <c r="E27" i="1"/>
  <c r="C23" i="1"/>
  <c r="D23" i="1"/>
  <c r="E23" i="1"/>
  <c r="C22" i="1"/>
  <c r="D22" i="1"/>
  <c r="E22" i="1"/>
  <c r="E31" i="1"/>
  <c r="D31" i="1"/>
  <c r="C31" i="1"/>
  <c r="E17" i="1"/>
  <c r="D17" i="1"/>
  <c r="C17" i="1"/>
  <c r="C15" i="1"/>
  <c r="D15" i="1"/>
  <c r="E15" i="1"/>
  <c r="E8" i="1"/>
  <c r="D8" i="1"/>
  <c r="C8" i="1"/>
  <c r="E36" i="1"/>
  <c r="D36" i="1"/>
  <c r="C36" i="1"/>
  <c r="E28" i="1"/>
  <c r="D28" i="1"/>
  <c r="C28" i="1"/>
  <c r="C30" i="1"/>
  <c r="D30" i="1"/>
  <c r="E30" i="1"/>
  <c r="C34" i="1"/>
  <c r="D34" i="1"/>
  <c r="E34" i="1"/>
  <c r="C21" i="1"/>
  <c r="D21" i="1"/>
  <c r="E21" i="1"/>
  <c r="C7" i="1"/>
  <c r="D7" i="1"/>
  <c r="E7" i="1"/>
  <c r="E3" i="1"/>
  <c r="D3" i="1"/>
  <c r="C3" i="1"/>
  <c r="E38" i="1"/>
  <c r="D38" i="1"/>
  <c r="C38" i="1"/>
  <c r="E32" i="1"/>
  <c r="D32" i="1"/>
  <c r="C32" i="1"/>
  <c r="E24" i="1"/>
  <c r="D24" i="1"/>
  <c r="C24" i="1"/>
  <c r="E13" i="1"/>
  <c r="D13" i="1"/>
  <c r="C13" i="1"/>
  <c r="E14" i="1"/>
  <c r="D14" i="1"/>
  <c r="C14" i="1"/>
  <c r="E37" i="1"/>
  <c r="D37" i="1"/>
  <c r="C37" i="1"/>
  <c r="C10" i="1"/>
  <c r="D10" i="1"/>
  <c r="E10" i="1"/>
  <c r="C5" i="1"/>
  <c r="D5" i="1"/>
  <c r="E5" i="1"/>
  <c r="E20" i="1"/>
  <c r="D20" i="1"/>
  <c r="C20" i="1"/>
  <c r="E18" i="1"/>
  <c r="D18" i="1"/>
  <c r="C18" i="1"/>
</calcChain>
</file>

<file path=xl/sharedStrings.xml><?xml version="1.0" encoding="utf-8"?>
<sst xmlns="http://schemas.openxmlformats.org/spreadsheetml/2006/main" count="55" uniqueCount="55">
  <si>
    <t>Kod</t>
  </si>
  <si>
    <t>DUN</t>
  </si>
  <si>
    <t>Pengundi 
(DPI Dec 2025)</t>
  </si>
  <si>
    <t>Majoriti PRU15</t>
  </si>
  <si>
    <t>N25</t>
  </si>
  <si>
    <t>N31</t>
  </si>
  <si>
    <t>N34</t>
  </si>
  <si>
    <t>N20</t>
  </si>
  <si>
    <t>N05</t>
  </si>
  <si>
    <t>N15</t>
  </si>
  <si>
    <t>N28</t>
  </si>
  <si>
    <t>N14</t>
  </si>
  <si>
    <t>N16</t>
  </si>
  <si>
    <t>N03</t>
  </si>
  <si>
    <t>N06</t>
  </si>
  <si>
    <t>N04</t>
  </si>
  <si>
    <t>N17</t>
  </si>
  <si>
    <t>N09</t>
  </si>
  <si>
    <t>N07</t>
  </si>
  <si>
    <t>N18</t>
  </si>
  <si>
    <t>N32</t>
  </si>
  <si>
    <t>N19</t>
  </si>
  <si>
    <t>N01</t>
  </si>
  <si>
    <t>N35</t>
  </si>
  <si>
    <t>N13</t>
  </si>
  <si>
    <t>N02</t>
  </si>
  <si>
    <t>N12</t>
  </si>
  <si>
    <t>N33</t>
  </si>
  <si>
    <t>N26</t>
  </si>
  <si>
    <t>N36</t>
  </si>
  <si>
    <t>N29</t>
  </si>
  <si>
    <t>N22</t>
  </si>
  <si>
    <t>N08</t>
  </si>
  <si>
    <t>N30</t>
  </si>
  <si>
    <t>N27</t>
  </si>
  <si>
    <t>N10</t>
  </si>
  <si>
    <t>N24</t>
  </si>
  <si>
    <t>N11</t>
  </si>
  <si>
    <t>N23</t>
  </si>
  <si>
    <t>N21</t>
  </si>
  <si>
    <t>Perempuan</t>
  </si>
  <si>
    <t>Bangsa</t>
  </si>
  <si>
    <t>18-20 Thn</t>
  </si>
  <si>
    <t>21-25 Thn</t>
  </si>
  <si>
    <t>26-40 Thn</t>
  </si>
  <si>
    <t>41-60 Thn</t>
  </si>
  <si>
    <t>61-999 Thn</t>
  </si>
  <si>
    <t>Tak Diketahui</t>
  </si>
  <si>
    <t>Lelaki</t>
  </si>
  <si>
    <t>MELAYU</t>
  </si>
  <si>
    <t>CINA</t>
  </si>
  <si>
    <t>LAIN-LAIN</t>
  </si>
  <si>
    <t>Jantina</t>
  </si>
  <si>
    <t>Umur (Umur pada 11/6/2026)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</si>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</sst>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#,##0;\(#,##0\);&quot;–&quot;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name val="Aptos Narrow"/>
      <scheme val="minor"/>
    </font>
    <font>
      <sz val="11"/>
      <color rgb="FF008000"/>
      <name val="Aptos Narrow"/>
      <scheme val="minor"/>
    </font>
    <font>
      <sz val="11"/>
      <color rgb="FFFF0000"/>
      <name val="Aptos Narrow"/>
      <scheme val="minor"/>
    </font>
    <font>
      <sz val="11"/>
      <color rgb="FF000000"/>
      <name val="Aptos Narrow"/>
    </font>
    <font>
      <sz val="11"/>
      <color rgb="FF000000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18380"/>
        <bgColor indexed="64"/>
      </patternFill>
    </fill>
    <fill>
      <patternFill patternType="solid">
        <fgColor rgb="FF31A8A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9F0E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</fills>
  <borders count="25">
    <border>
      <left/>
      <right/>
      <top/>
      <bottom/>
      <diagonal/>
    </border>
    <border>
      <left style="medium">
        <color rgb="FF40404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404040"/>
      </right>
      <top style="thin">
        <color rgb="FFD9D9D9"/>
      </top>
      <bottom style="thin">
        <color rgb="FFD9D9D9"/>
      </bottom>
      <diagonal/>
    </border>
    <border>
      <left style="medium">
        <color rgb="FF404040"/>
      </left>
      <right style="thin">
        <color rgb="FFD9D9D9"/>
      </right>
      <top style="thin">
        <color rgb="FFD9D9D9"/>
      </top>
      <bottom style="medium">
        <color rgb="FF40404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404040"/>
      </bottom>
      <diagonal/>
    </border>
    <border>
      <left style="thin">
        <color rgb="FFD9D9D9"/>
      </left>
      <right style="medium">
        <color rgb="FF404040"/>
      </right>
      <top style="thin">
        <color rgb="FFD9D9D9"/>
      </top>
      <bottom style="medium">
        <color rgb="FF40404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medium">
        <color rgb="FF404040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medium">
        <color rgb="FF404040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medium">
        <color rgb="FF404040"/>
      </bottom>
      <diagonal/>
    </border>
    <border>
      <left style="medium">
        <color rgb="FF404040"/>
      </left>
      <right style="thin">
        <color rgb="FFD9D9D9"/>
      </right>
      <top style="medium">
        <color rgb="FF404040"/>
      </top>
      <bottom/>
      <diagonal/>
    </border>
    <border>
      <left style="thin">
        <color rgb="FFD9D9D9"/>
      </left>
      <right style="thin">
        <color rgb="FFD9D9D9"/>
      </right>
      <top style="medium">
        <color rgb="FF404040"/>
      </top>
      <bottom/>
      <diagonal/>
    </border>
    <border>
      <left style="thin">
        <color rgb="FFD9D9D9"/>
      </left>
      <right/>
      <top style="medium">
        <color rgb="FF404040"/>
      </top>
      <bottom/>
      <diagonal/>
    </border>
    <border>
      <left style="thin">
        <color rgb="FFD9D9D9"/>
      </left>
      <right style="medium">
        <color rgb="FF404040"/>
      </right>
      <top style="medium">
        <color rgb="FF404040"/>
      </top>
      <bottom/>
      <diagonal/>
    </border>
    <border>
      <left/>
      <right/>
      <top style="medium">
        <color rgb="FF404040"/>
      </top>
      <bottom/>
      <diagonal/>
    </border>
    <border>
      <left/>
      <right style="thin">
        <color rgb="FFD9D9D9"/>
      </right>
      <top style="medium">
        <color rgb="FF404040"/>
      </top>
      <bottom/>
      <diagonal/>
    </border>
    <border>
      <left style="medium">
        <color rgb="FF404040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 style="medium">
        <color rgb="FF404040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165" fontId="6" fillId="12" borderId="2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left" vertical="center"/>
    </xf>
    <xf numFmtId="3" fontId="4" fillId="3" borderId="7" xfId="0" applyNumberFormat="1" applyFont="1" applyFill="1" applyBorder="1" applyAlignment="1">
      <alignment horizontal="center" vertical="center"/>
    </xf>
    <xf numFmtId="3" fontId="4" fillId="3" borderId="8" xfId="0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164" fontId="5" fillId="3" borderId="6" xfId="0" applyNumberFormat="1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left" vertical="center"/>
    </xf>
    <xf numFmtId="3" fontId="4" fillId="3" borderId="21" xfId="0" applyNumberFormat="1" applyFont="1" applyFill="1" applyBorder="1" applyAlignment="1">
      <alignment horizontal="center" vertical="center"/>
    </xf>
    <xf numFmtId="164" fontId="5" fillId="3" borderId="22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165" fontId="7" fillId="10" borderId="23" xfId="0" applyNumberFormat="1" applyFont="1" applyFill="1" applyBorder="1" applyAlignment="1">
      <alignment horizontal="center" vertical="center"/>
    </xf>
    <xf numFmtId="165" fontId="7" fillId="10" borderId="22" xfId="0" applyNumberFormat="1" applyFont="1" applyFill="1" applyBorder="1" applyAlignment="1">
      <alignment horizontal="center" vertical="center"/>
    </xf>
    <xf numFmtId="165" fontId="7" fillId="11" borderId="24" xfId="0" applyNumberFormat="1" applyFont="1" applyFill="1" applyBorder="1" applyAlignment="1">
      <alignment horizontal="center" vertical="center"/>
    </xf>
    <xf numFmtId="165" fontId="7" fillId="11" borderId="20" xfId="0" applyNumberFormat="1" applyFont="1" applyFill="1" applyBorder="1" applyAlignment="1">
      <alignment horizontal="center" vertical="center"/>
    </xf>
    <xf numFmtId="165" fontId="7" fillId="11" borderId="21" xfId="0" applyNumberFormat="1" applyFont="1" applyFill="1" applyBorder="1" applyAlignment="1">
      <alignment horizontal="center" vertical="center"/>
    </xf>
    <xf numFmtId="165" fontId="7" fillId="11" borderId="22" xfId="0" applyNumberFormat="1" applyFont="1" applyFill="1" applyBorder="1" applyAlignment="1">
      <alignment horizontal="center" vertical="center"/>
    </xf>
    <xf numFmtId="165" fontId="7" fillId="12" borderId="24" xfId="0" applyNumberFormat="1" applyFont="1" applyFill="1" applyBorder="1" applyAlignment="1">
      <alignment horizontal="center" vertical="center"/>
    </xf>
    <xf numFmtId="165" fontId="7" fillId="12" borderId="20" xfId="0" applyNumberFormat="1" applyFont="1" applyFill="1" applyBorder="1" applyAlignment="1">
      <alignment horizontal="center" vertical="center"/>
    </xf>
    <xf numFmtId="165" fontId="7" fillId="12" borderId="21" xfId="0" applyNumberFormat="1" applyFont="1" applyFill="1" applyBorder="1" applyAlignment="1">
      <alignment horizontal="center" vertical="center"/>
    </xf>
    <xf numFmtId="165" fontId="7" fillId="12" borderId="22" xfId="0" applyNumberFormat="1" applyFont="1" applyFill="1" applyBorder="1" applyAlignment="1">
      <alignment horizontal="center" vertical="center"/>
    </xf>
    <xf numFmtId="165" fontId="7" fillId="10" borderId="11" xfId="0" applyNumberFormat="1" applyFont="1" applyFill="1" applyBorder="1" applyAlignment="1">
      <alignment horizontal="center" vertical="center"/>
    </xf>
    <xf numFmtId="165" fontId="7" fillId="10" borderId="3" xfId="0" applyNumberFormat="1" applyFont="1" applyFill="1" applyBorder="1" applyAlignment="1">
      <alignment horizontal="center" vertical="center"/>
    </xf>
    <xf numFmtId="165" fontId="7" fillId="11" borderId="9" xfId="0" applyNumberFormat="1" applyFont="1" applyFill="1" applyBorder="1" applyAlignment="1">
      <alignment horizontal="center" vertical="center"/>
    </xf>
    <xf numFmtId="165" fontId="7" fillId="11" borderId="2" xfId="0" applyNumberFormat="1" applyFont="1" applyFill="1" applyBorder="1" applyAlignment="1">
      <alignment horizontal="center" vertical="center"/>
    </xf>
    <xf numFmtId="165" fontId="7" fillId="11" borderId="7" xfId="0" applyNumberFormat="1" applyFont="1" applyFill="1" applyBorder="1" applyAlignment="1">
      <alignment horizontal="center" vertical="center"/>
    </xf>
    <xf numFmtId="165" fontId="7" fillId="11" borderId="3" xfId="0" applyNumberFormat="1" applyFont="1" applyFill="1" applyBorder="1" applyAlignment="1">
      <alignment horizontal="center" vertical="center"/>
    </xf>
    <xf numFmtId="165" fontId="7" fillId="12" borderId="9" xfId="0" applyNumberFormat="1" applyFont="1" applyFill="1" applyBorder="1" applyAlignment="1">
      <alignment horizontal="center" vertical="center"/>
    </xf>
    <xf numFmtId="165" fontId="7" fillId="12" borderId="2" xfId="0" applyNumberFormat="1" applyFont="1" applyFill="1" applyBorder="1" applyAlignment="1">
      <alignment horizontal="center" vertical="center"/>
    </xf>
    <xf numFmtId="165" fontId="7" fillId="12" borderId="7" xfId="0" applyNumberFormat="1" applyFont="1" applyFill="1" applyBorder="1" applyAlignment="1">
      <alignment horizontal="center" vertical="center"/>
    </xf>
    <xf numFmtId="165" fontId="7" fillId="12" borderId="3" xfId="0" applyNumberFormat="1" applyFont="1" applyFill="1" applyBorder="1" applyAlignment="1">
      <alignment horizontal="center" vertical="center"/>
    </xf>
    <xf numFmtId="165" fontId="7" fillId="10" borderId="12" xfId="0" applyNumberFormat="1" applyFont="1" applyFill="1" applyBorder="1" applyAlignment="1">
      <alignment horizontal="center" vertical="center"/>
    </xf>
    <xf numFmtId="165" fontId="7" fillId="10" borderId="6" xfId="0" applyNumberFormat="1" applyFont="1" applyFill="1" applyBorder="1" applyAlignment="1">
      <alignment horizontal="center" vertical="center"/>
    </xf>
    <xf numFmtId="165" fontId="7" fillId="11" borderId="10" xfId="0" applyNumberFormat="1" applyFont="1" applyFill="1" applyBorder="1" applyAlignment="1">
      <alignment horizontal="center" vertical="center"/>
    </xf>
    <xf numFmtId="165" fontId="7" fillId="11" borderId="5" xfId="0" applyNumberFormat="1" applyFont="1" applyFill="1" applyBorder="1" applyAlignment="1">
      <alignment horizontal="center" vertical="center"/>
    </xf>
    <xf numFmtId="165" fontId="7" fillId="11" borderId="8" xfId="0" applyNumberFormat="1" applyFont="1" applyFill="1" applyBorder="1" applyAlignment="1">
      <alignment horizontal="center" vertical="center"/>
    </xf>
    <xf numFmtId="165" fontId="7" fillId="11" borderId="6" xfId="0" applyNumberFormat="1" applyFont="1" applyFill="1" applyBorder="1" applyAlignment="1">
      <alignment horizontal="center" vertical="center"/>
    </xf>
    <xf numFmtId="165" fontId="7" fillId="12" borderId="10" xfId="0" applyNumberFormat="1" applyFont="1" applyFill="1" applyBorder="1" applyAlignment="1">
      <alignment horizontal="center" vertical="center"/>
    </xf>
    <xf numFmtId="165" fontId="7" fillId="12" borderId="5" xfId="0" applyNumberFormat="1" applyFont="1" applyFill="1" applyBorder="1" applyAlignment="1">
      <alignment horizontal="center" vertical="center"/>
    </xf>
    <xf numFmtId="165" fontId="7" fillId="12" borderId="8" xfId="0" applyNumberFormat="1" applyFont="1" applyFill="1" applyBorder="1" applyAlignment="1">
      <alignment horizontal="center" vertical="center"/>
    </xf>
    <xf numFmtId="165" fontId="7" fillId="12" borderId="6" xfId="0" applyNumberFormat="1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2" fillId="8" borderId="18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center" vertical="center" wrapText="1"/>
    </xf>
    <xf numFmtId="0" fontId="2" fillId="8" borderId="16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b814a4cd640704d/Dataraya/Perbincangan%20kerusi%20DUN%20N9/Data%20meeting%205%20Jun%202026.xlsx" TargetMode="External"/><Relationship Id="rId1" Type="http://schemas.openxmlformats.org/officeDocument/2006/relationships/externalLinkPath" Target="https://d.docs.live.net/8b814a4cd640704d/Dataraya/Perbincangan%20kerusi%20DUN%20N9/Data%20meeting%205%20Jun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 Jun"/>
      <sheetName val="(1) Majoriti"/>
      <sheetName val="(2) Pengundi &amp; % Melayu"/>
      <sheetName val="(3) SKT 51%"/>
      <sheetName val="(4) BKC vs modal PRU15"/>
      <sheetName val="(5) Cula"/>
      <sheetName val="(6) Perbezaan pengundi"/>
      <sheetName val="(7) Cula vs SKT"/>
    </sheetNames>
    <sheetDataSet>
      <sheetData sheetId="0"/>
      <sheetData sheetId="1">
        <row r="4">
          <cell r="B4" t="str">
            <v>N25</v>
          </cell>
          <cell r="I4">
            <v>5539</v>
          </cell>
        </row>
        <row r="5">
          <cell r="B5" t="str">
            <v>N31</v>
          </cell>
          <cell r="I5">
            <v>3426</v>
          </cell>
        </row>
        <row r="6">
          <cell r="B6" t="str">
            <v>N34</v>
          </cell>
          <cell r="I6">
            <v>3120</v>
          </cell>
        </row>
        <row r="7">
          <cell r="B7" t="str">
            <v>N20</v>
          </cell>
          <cell r="I7">
            <v>1640</v>
          </cell>
        </row>
        <row r="8">
          <cell r="B8" t="str">
            <v>N05</v>
          </cell>
          <cell r="I8">
            <v>843</v>
          </cell>
        </row>
        <row r="9">
          <cell r="B9" t="str">
            <v>N15</v>
          </cell>
          <cell r="I9">
            <v>-78</v>
          </cell>
        </row>
        <row r="10">
          <cell r="B10" t="str">
            <v>N28</v>
          </cell>
          <cell r="I10">
            <v>-135</v>
          </cell>
        </row>
        <row r="11">
          <cell r="B11" t="str">
            <v>N14</v>
          </cell>
          <cell r="I11">
            <v>-329</v>
          </cell>
        </row>
        <row r="12">
          <cell r="B12" t="str">
            <v>N16</v>
          </cell>
          <cell r="I12">
            <v>-370</v>
          </cell>
        </row>
        <row r="13">
          <cell r="B13" t="str">
            <v>N03</v>
          </cell>
          <cell r="I13">
            <v>-535</v>
          </cell>
        </row>
        <row r="14">
          <cell r="B14" t="str">
            <v>N06</v>
          </cell>
          <cell r="I14">
            <v>-564</v>
          </cell>
        </row>
        <row r="15">
          <cell r="B15" t="str">
            <v>N04</v>
          </cell>
          <cell r="I15">
            <v>-577</v>
          </cell>
        </row>
        <row r="16">
          <cell r="B16" t="str">
            <v>N17</v>
          </cell>
          <cell r="I16">
            <v>-662</v>
          </cell>
        </row>
        <row r="17">
          <cell r="B17" t="str">
            <v>N09</v>
          </cell>
          <cell r="I17">
            <v>-685</v>
          </cell>
        </row>
        <row r="18">
          <cell r="B18" t="str">
            <v>N07</v>
          </cell>
          <cell r="I18">
            <v>-693</v>
          </cell>
        </row>
        <row r="19">
          <cell r="B19" t="str">
            <v>N18</v>
          </cell>
          <cell r="I19">
            <v>-1079</v>
          </cell>
        </row>
        <row r="20">
          <cell r="B20" t="str">
            <v>N32</v>
          </cell>
          <cell r="I20">
            <v>-1461</v>
          </cell>
        </row>
        <row r="21">
          <cell r="B21" t="str">
            <v>N19</v>
          </cell>
          <cell r="I21">
            <v>-2117</v>
          </cell>
        </row>
        <row r="22">
          <cell r="B22" t="str">
            <v>N01</v>
          </cell>
          <cell r="I22">
            <v>-2200</v>
          </cell>
        </row>
        <row r="23">
          <cell r="B23" t="str">
            <v>N35</v>
          </cell>
          <cell r="I23">
            <v>-2434</v>
          </cell>
        </row>
        <row r="24">
          <cell r="B24" t="str">
            <v>N13</v>
          </cell>
          <cell r="I24">
            <v>-2662</v>
          </cell>
        </row>
        <row r="25">
          <cell r="B25" t="str">
            <v>N02</v>
          </cell>
          <cell r="I25">
            <v>-2790</v>
          </cell>
        </row>
        <row r="26">
          <cell r="B26" t="str">
            <v>N12</v>
          </cell>
          <cell r="I26">
            <v>-3068</v>
          </cell>
        </row>
        <row r="27">
          <cell r="B27" t="str">
            <v>N33</v>
          </cell>
          <cell r="I27">
            <v>-3996</v>
          </cell>
        </row>
        <row r="28">
          <cell r="B28" t="str">
            <v>N26</v>
          </cell>
          <cell r="I28">
            <v>-4335</v>
          </cell>
        </row>
        <row r="29">
          <cell r="B29" t="str">
            <v>N36</v>
          </cell>
          <cell r="I29">
            <v>-5950</v>
          </cell>
        </row>
        <row r="30">
          <cell r="B30" t="str">
            <v>N29</v>
          </cell>
          <cell r="I30">
            <v>-6298</v>
          </cell>
        </row>
        <row r="31">
          <cell r="B31" t="str">
            <v>N22</v>
          </cell>
          <cell r="I31">
            <v>-6432</v>
          </cell>
        </row>
        <row r="32">
          <cell r="B32" t="str">
            <v>N08</v>
          </cell>
          <cell r="I32">
            <v>-8408</v>
          </cell>
        </row>
        <row r="33">
          <cell r="B33" t="str">
            <v>N30</v>
          </cell>
          <cell r="I33">
            <v>-10135</v>
          </cell>
        </row>
        <row r="34">
          <cell r="B34" t="str">
            <v>N27</v>
          </cell>
          <cell r="I34">
            <v>-10280</v>
          </cell>
        </row>
        <row r="35">
          <cell r="B35" t="str">
            <v>N10</v>
          </cell>
          <cell r="I35">
            <v>-10889</v>
          </cell>
        </row>
        <row r="36">
          <cell r="B36" t="str">
            <v>N24</v>
          </cell>
          <cell r="I36">
            <v>-12703</v>
          </cell>
        </row>
        <row r="37">
          <cell r="B37" t="str">
            <v>N11</v>
          </cell>
          <cell r="I37">
            <v>-13504</v>
          </cell>
        </row>
        <row r="38">
          <cell r="B38" t="str">
            <v>N23</v>
          </cell>
          <cell r="I38">
            <v>-14940</v>
          </cell>
        </row>
        <row r="39">
          <cell r="B39" t="str">
            <v>N21</v>
          </cell>
          <cell r="I39">
            <v>-19684</v>
          </cell>
        </row>
      </sheetData>
      <sheetData sheetId="2">
        <row r="5">
          <cell r="B5" t="str">
            <v>N01</v>
          </cell>
          <cell r="C5" t="str">
            <v>Chennah</v>
          </cell>
          <cell r="D5">
            <v>14427</v>
          </cell>
        </row>
        <row r="6">
          <cell r="B6" t="str">
            <v>N02</v>
          </cell>
          <cell r="C6" t="str">
            <v>Pertang</v>
          </cell>
          <cell r="D6">
            <v>12880</v>
          </cell>
        </row>
        <row r="7">
          <cell r="B7" t="str">
            <v>N03</v>
          </cell>
          <cell r="C7" t="str">
            <v>Sungai Lui</v>
          </cell>
          <cell r="D7">
            <v>19711</v>
          </cell>
        </row>
        <row r="8">
          <cell r="B8" t="str">
            <v>N04</v>
          </cell>
          <cell r="C8" t="str">
            <v>Klawang</v>
          </cell>
          <cell r="D8">
            <v>13329</v>
          </cell>
        </row>
        <row r="9">
          <cell r="B9" t="str">
            <v>N05</v>
          </cell>
          <cell r="C9" t="str">
            <v>Serting</v>
          </cell>
          <cell r="D9">
            <v>30593</v>
          </cell>
        </row>
        <row r="10">
          <cell r="B10" t="str">
            <v>N06</v>
          </cell>
          <cell r="C10" t="str">
            <v>Palong</v>
          </cell>
          <cell r="D10">
            <v>23548</v>
          </cell>
        </row>
        <row r="11">
          <cell r="B11" t="str">
            <v>N07</v>
          </cell>
          <cell r="C11" t="str">
            <v>Jeram Padang</v>
          </cell>
          <cell r="D11">
            <v>16539</v>
          </cell>
        </row>
        <row r="12">
          <cell r="B12" t="str">
            <v>N08</v>
          </cell>
          <cell r="C12" t="str">
            <v>Bahau</v>
          </cell>
          <cell r="D12">
            <v>25951</v>
          </cell>
        </row>
        <row r="13">
          <cell r="B13" t="str">
            <v>N09</v>
          </cell>
          <cell r="C13" t="str">
            <v>Lenggeng</v>
          </cell>
          <cell r="D13">
            <v>28671</v>
          </cell>
        </row>
        <row r="14">
          <cell r="B14" t="str">
            <v>N10</v>
          </cell>
          <cell r="C14" t="str">
            <v>Nilai</v>
          </cell>
          <cell r="D14">
            <v>45487</v>
          </cell>
        </row>
        <row r="15">
          <cell r="B15" t="str">
            <v>N11</v>
          </cell>
          <cell r="C15" t="str">
            <v>Lobak</v>
          </cell>
          <cell r="D15">
            <v>23141</v>
          </cell>
        </row>
        <row r="16">
          <cell r="B16" t="str">
            <v>N12</v>
          </cell>
          <cell r="C16" t="str">
            <v>Temiang</v>
          </cell>
          <cell r="D16">
            <v>12975</v>
          </cell>
        </row>
        <row r="17">
          <cell r="B17" t="str">
            <v>N13</v>
          </cell>
          <cell r="C17" t="str">
            <v>Sikamat</v>
          </cell>
          <cell r="D17">
            <v>33885</v>
          </cell>
        </row>
        <row r="18">
          <cell r="B18" t="str">
            <v>N14</v>
          </cell>
          <cell r="C18" t="str">
            <v>Ampangan</v>
          </cell>
          <cell r="D18">
            <v>21338</v>
          </cell>
        </row>
        <row r="19">
          <cell r="B19" t="str">
            <v>N15</v>
          </cell>
          <cell r="C19" t="str">
            <v>Juasseh</v>
          </cell>
          <cell r="D19">
            <v>13669</v>
          </cell>
        </row>
        <row r="20">
          <cell r="B20" t="str">
            <v>N16</v>
          </cell>
          <cell r="C20" t="str">
            <v>Seri Menanti</v>
          </cell>
          <cell r="D20">
            <v>10100</v>
          </cell>
        </row>
        <row r="21">
          <cell r="B21" t="str">
            <v>N17</v>
          </cell>
          <cell r="C21" t="str">
            <v>Senaling</v>
          </cell>
          <cell r="D21">
            <v>9914</v>
          </cell>
        </row>
        <row r="22">
          <cell r="B22" t="str">
            <v>N18</v>
          </cell>
          <cell r="C22" t="str">
            <v>Pilah</v>
          </cell>
          <cell r="D22">
            <v>17963</v>
          </cell>
        </row>
        <row r="23">
          <cell r="B23" t="str">
            <v>N19</v>
          </cell>
          <cell r="C23" t="str">
            <v>Johol</v>
          </cell>
          <cell r="D23">
            <v>12359</v>
          </cell>
        </row>
        <row r="24">
          <cell r="B24" t="str">
            <v>N20</v>
          </cell>
          <cell r="C24" t="str">
            <v>Labu</v>
          </cell>
          <cell r="D24">
            <v>32575</v>
          </cell>
        </row>
        <row r="25">
          <cell r="B25" t="str">
            <v>N21</v>
          </cell>
          <cell r="C25" t="str">
            <v>Bukit Kepayang</v>
          </cell>
          <cell r="D25">
            <v>49248</v>
          </cell>
        </row>
        <row r="26">
          <cell r="B26" t="str">
            <v>N22</v>
          </cell>
          <cell r="C26" t="str">
            <v>Rahang</v>
          </cell>
          <cell r="D26">
            <v>19608</v>
          </cell>
        </row>
        <row r="27">
          <cell r="B27" t="str">
            <v>N23</v>
          </cell>
          <cell r="C27" t="str">
            <v>Mambau</v>
          </cell>
          <cell r="D27">
            <v>30316</v>
          </cell>
        </row>
        <row r="28">
          <cell r="B28" t="str">
            <v>N24</v>
          </cell>
          <cell r="C28" t="str">
            <v>Seremban Jaya</v>
          </cell>
          <cell r="D28">
            <v>32899</v>
          </cell>
        </row>
        <row r="29">
          <cell r="B29" t="str">
            <v>N25</v>
          </cell>
          <cell r="C29" t="str">
            <v>Paroi</v>
          </cell>
          <cell r="D29">
            <v>64582</v>
          </cell>
        </row>
        <row r="30">
          <cell r="B30" t="str">
            <v>N26</v>
          </cell>
          <cell r="C30" t="str">
            <v>Chembong</v>
          </cell>
          <cell r="D30">
            <v>26440</v>
          </cell>
        </row>
        <row r="31">
          <cell r="B31" t="str">
            <v>N27</v>
          </cell>
          <cell r="C31" t="str">
            <v>Rantau</v>
          </cell>
          <cell r="D31">
            <v>34636</v>
          </cell>
        </row>
        <row r="32">
          <cell r="B32" t="str">
            <v>N28</v>
          </cell>
          <cell r="C32" t="str">
            <v>Kota</v>
          </cell>
          <cell r="D32">
            <v>16730</v>
          </cell>
        </row>
        <row r="33">
          <cell r="B33" t="str">
            <v>N29</v>
          </cell>
          <cell r="C33" t="str">
            <v>Chuah</v>
          </cell>
          <cell r="D33">
            <v>15141</v>
          </cell>
        </row>
        <row r="34">
          <cell r="B34" t="str">
            <v>N30</v>
          </cell>
          <cell r="C34" t="str">
            <v>Lukut</v>
          </cell>
          <cell r="D34">
            <v>28010</v>
          </cell>
        </row>
        <row r="35">
          <cell r="B35" t="str">
            <v>N31</v>
          </cell>
          <cell r="C35" t="str">
            <v>Bagan Pinang</v>
          </cell>
          <cell r="D35">
            <v>27926</v>
          </cell>
        </row>
        <row r="36">
          <cell r="B36" t="str">
            <v>N32</v>
          </cell>
          <cell r="C36" t="str">
            <v>Linggi</v>
          </cell>
          <cell r="D36">
            <v>20768</v>
          </cell>
        </row>
        <row r="37">
          <cell r="B37" t="str">
            <v>N33</v>
          </cell>
          <cell r="C37" t="str">
            <v>Sri Tanjung</v>
          </cell>
          <cell r="D37">
            <v>19585</v>
          </cell>
        </row>
        <row r="38">
          <cell r="B38" t="str">
            <v>N34</v>
          </cell>
          <cell r="C38" t="str">
            <v>Gemas</v>
          </cell>
          <cell r="D38">
            <v>29235</v>
          </cell>
        </row>
        <row r="39">
          <cell r="B39" t="str">
            <v>N35</v>
          </cell>
          <cell r="C39" t="str">
            <v>Gemencheh</v>
          </cell>
          <cell r="D39">
            <v>24878</v>
          </cell>
        </row>
        <row r="40">
          <cell r="B40" t="str">
            <v>N36</v>
          </cell>
          <cell r="C40" t="str">
            <v>Repah</v>
          </cell>
          <cell r="D40">
            <v>27830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4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9412E70-276F-40E5-A081-64472DAFAD5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fde5012-9de3-4611-8faf-c3d53744e28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57C98-04F0-43D1-9149-5FF1D6C8C122}">
  <dimension ref="B1:Q38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U15" sqref="U15"/>
    </sheetView>
  </sheetViews>
  <sheetFormatPr baseColWidth="10" defaultColWidth="8.83203125" defaultRowHeight="15" x14ac:dyDescent="0.2"/>
  <cols>
    <col min="1" max="1" width="2.1640625" customWidth="1"/>
    <col min="2" max="2" width="7.33203125" customWidth="1"/>
    <col min="3" max="3" width="21.5" customWidth="1"/>
    <col min="4" max="4" width="13.1640625" customWidth="1"/>
    <col min="5" max="5" width="14.5" customWidth="1"/>
    <col min="6" max="17" width="9.83203125" customWidth="1"/>
  </cols>
  <sheetData>
    <row r="1" spans="2:17" ht="30" customHeight="1" x14ac:dyDescent="0.2">
      <c r="B1" s="65" t="s">
        <v>0</v>
      </c>
      <c r="C1" s="67" t="s">
        <v>1</v>
      </c>
      <c r="D1" s="69" t="s">
        <v>2</v>
      </c>
      <c r="E1" s="71" t="s">
        <v>3</v>
      </c>
      <c r="F1" s="55" t="s">
        <v>52</v>
      </c>
      <c r="G1" s="56"/>
      <c r="H1" s="57" t="s">
        <v>53</v>
      </c>
      <c r="I1" s="58"/>
      <c r="J1" s="58"/>
      <c r="K1" s="58"/>
      <c r="L1" s="59"/>
      <c r="M1" s="60"/>
      <c r="N1" s="61" t="s">
        <v>41</v>
      </c>
      <c r="O1" s="62"/>
      <c r="P1" s="63"/>
      <c r="Q1" s="64"/>
    </row>
    <row r="2" spans="2:17" ht="32" customHeight="1" thickBot="1" x14ac:dyDescent="0.25">
      <c r="B2" s="66"/>
      <c r="C2" s="68"/>
      <c r="D2" s="70"/>
      <c r="E2" s="72"/>
      <c r="F2" s="15" t="s">
        <v>48</v>
      </c>
      <c r="G2" s="16" t="s">
        <v>40</v>
      </c>
      <c r="H2" s="17" t="s">
        <v>42</v>
      </c>
      <c r="I2" s="18" t="s">
        <v>43</v>
      </c>
      <c r="J2" s="18" t="s">
        <v>44</v>
      </c>
      <c r="K2" s="18" t="s">
        <v>45</v>
      </c>
      <c r="L2" s="19" t="s">
        <v>46</v>
      </c>
      <c r="M2" s="20" t="s">
        <v>47</v>
      </c>
      <c r="N2" s="21" t="s">
        <v>49</v>
      </c>
      <c r="O2" s="22" t="s">
        <v>50</v>
      </c>
      <c r="P2" s="23" t="s">
        <v>54</v>
      </c>
      <c r="Q2" s="24" t="s">
        <v>51</v>
      </c>
    </row>
    <row r="3" spans="2:17" ht="16" customHeight="1" x14ac:dyDescent="0.2">
      <c r="B3" s="11" t="s">
        <v>22</v>
      </c>
      <c r="C3" s="12" t="str">
        <f ca="1">INDEX('[1](2) Pengundi &amp; % Melayu'!$C$5:$C$40,MATCH($D3,'[1](2) Pengundi &amp; % Melayu'!$B$5:$B$40,0))</f>
        <v>Chennah</v>
      </c>
      <c r="D3" s="13">
        <f ca="1">INDEX('[1](2) Pengundi &amp; % Melayu'!$D$5:$D$40,MATCH($D3,'[1](2) Pengundi &amp; % Melayu'!$B$5:$B$40,0))</f>
        <v>14427</v>
      </c>
      <c r="E3" s="14">
        <f ca="1">INDEX('[1](1) Majoriti'!$I$4:$I$39,MATCH($D3,'[1](1) Majoriti'!$B$4:$B$39,0))</f>
        <v>-2200</v>
      </c>
      <c r="F3" s="25" t="e">
        <f>#REF!+#REF!+#REF!+#REF!+#REF!+#REF!</f>
        <v>#REF!</v>
      </c>
      <c r="G3" s="26" t="e">
        <f>#REF!+#REF!+#REF!+#REF!+#REF!+#REF!</f>
        <v>#REF!</v>
      </c>
      <c r="H3" s="27" t="e">
        <f>#REF!</f>
        <v>#REF!</v>
      </c>
      <c r="I3" s="28" t="e">
        <f>#REF!</f>
        <v>#REF!</v>
      </c>
      <c r="J3" s="28" t="e">
        <f>#REF!</f>
        <v>#REF!</v>
      </c>
      <c r="K3" s="28" t="e">
        <f>#REF!</f>
        <v>#REF!</v>
      </c>
      <c r="L3" s="29" t="e">
        <f>#REF!</f>
        <v>#REF!</v>
      </c>
      <c r="M3" s="30" t="e">
        <f>#REF!</f>
        <v>#REF!</v>
      </c>
      <c r="N3" s="31" t="e">
        <f>#REF!</f>
        <v>#REF!</v>
      </c>
      <c r="O3" s="32" t="e">
        <f>#REF!</f>
        <v>#REF!</v>
      </c>
      <c r="P3" s="33" t="e">
        <f>#REF!</f>
        <v>#REF!</v>
      </c>
      <c r="Q3" s="34" t="e">
        <f>#REF!</f>
        <v>#REF!</v>
      </c>
    </row>
    <row r="4" spans="2:17" ht="16" customHeight="1" x14ac:dyDescent="0.2">
      <c r="B4" s="1" t="s">
        <v>25</v>
      </c>
      <c r="C4" s="2" t="str">
        <f ca="1">INDEX('[1](2) Pengundi &amp; % Melayu'!$C$5:$C$40,MATCH($D4,'[1](2) Pengundi &amp; % Melayu'!$B$5:$B$40,0))</f>
        <v>Pertang</v>
      </c>
      <c r="D4" s="6">
        <f ca="1">INDEX('[1](2) Pengundi &amp; % Melayu'!$D$5:$D$40,MATCH($D4,'[1](2) Pengundi &amp; % Melayu'!$B$5:$B$40,0))</f>
        <v>12880</v>
      </c>
      <c r="E4" s="8">
        <f ca="1">INDEX('[1](1) Majoriti'!$I$4:$I$39,MATCH($D4,'[1](1) Majoriti'!$B$4:$B$39,0))</f>
        <v>-2790</v>
      </c>
      <c r="F4" s="35" t="e">
        <f>#REF!+#REF!+#REF!+#REF!+#REF!+#REF!</f>
        <v>#REF!</v>
      </c>
      <c r="G4" s="36" t="e">
        <f>#REF!+#REF!+#REF!+#REF!+#REF!+#REF!</f>
        <v>#REF!</v>
      </c>
      <c r="H4" s="37" t="e">
        <f>#REF!</f>
        <v>#REF!</v>
      </c>
      <c r="I4" s="38" t="e">
        <f>#REF!</f>
        <v>#REF!</v>
      </c>
      <c r="J4" s="38" t="e">
        <f>#REF!</f>
        <v>#REF!</v>
      </c>
      <c r="K4" s="38" t="e">
        <f>#REF!</f>
        <v>#REF!</v>
      </c>
      <c r="L4" s="39" t="e">
        <f>#REF!</f>
        <v>#REF!</v>
      </c>
      <c r="M4" s="40" t="e">
        <f>#REF!</f>
        <v>#REF!</v>
      </c>
      <c r="N4" s="41" t="e">
        <f>#REF!</f>
        <v>#REF!</v>
      </c>
      <c r="O4" s="42" t="e">
        <f>#REF!</f>
        <v>#REF!</v>
      </c>
      <c r="P4" s="43" t="e">
        <f>#REF!</f>
        <v>#REF!</v>
      </c>
      <c r="Q4" s="44" t="e">
        <f>#REF!</f>
        <v>#REF!</v>
      </c>
    </row>
    <row r="5" spans="2:17" ht="16" customHeight="1" x14ac:dyDescent="0.2">
      <c r="B5" s="1" t="s">
        <v>13</v>
      </c>
      <c r="C5" s="2" t="str">
        <f ca="1">INDEX('[1](2) Pengundi &amp; % Melayu'!$C$5:$C$40,MATCH($D5,'[1](2) Pengundi &amp; % Melayu'!$B$5:$B$40,0))</f>
        <v>Sungai Lui</v>
      </c>
      <c r="D5" s="6">
        <f ca="1">INDEX('[1](2) Pengundi &amp; % Melayu'!$D$5:$D$40,MATCH($D5,'[1](2) Pengundi &amp; % Melayu'!$B$5:$B$40,0))</f>
        <v>19711</v>
      </c>
      <c r="E5" s="8">
        <f ca="1">INDEX('[1](1) Majoriti'!$I$4:$I$39,MATCH($D5,'[1](1) Majoriti'!$B$4:$B$39,0))</f>
        <v>-535</v>
      </c>
      <c r="F5" s="35" t="e">
        <f>#REF!+#REF!+#REF!+#REF!+#REF!+#REF!</f>
        <v>#REF!</v>
      </c>
      <c r="G5" s="36" t="e">
        <f>#REF!+#REF!+#REF!+#REF!+#REF!+#REF!</f>
        <v>#REF!</v>
      </c>
      <c r="H5" s="37" t="e">
        <f>#REF!</f>
        <v>#REF!</v>
      </c>
      <c r="I5" s="38" t="e">
        <f>#REF!</f>
        <v>#REF!</v>
      </c>
      <c r="J5" s="38" t="e">
        <f>#REF!</f>
        <v>#REF!</v>
      </c>
      <c r="K5" s="38" t="e">
        <f>#REF!</f>
        <v>#REF!</v>
      </c>
      <c r="L5" s="39" t="e">
        <f>#REF!</f>
        <v>#REF!</v>
      </c>
      <c r="M5" s="40" t="e">
        <f>#REF!</f>
        <v>#REF!</v>
      </c>
      <c r="N5" s="41" t="e">
        <f>#REF!</f>
        <v>#REF!</v>
      </c>
      <c r="O5" s="42" t="e">
        <f>#REF!</f>
        <v>#REF!</v>
      </c>
      <c r="P5" s="43" t="e">
        <f>#REF!</f>
        <v>#REF!</v>
      </c>
      <c r="Q5" s="44" t="e">
        <f>#REF!</f>
        <v>#REF!</v>
      </c>
    </row>
    <row r="6" spans="2:17" ht="16" customHeight="1" x14ac:dyDescent="0.2">
      <c r="B6" s="1" t="s">
        <v>15</v>
      </c>
      <c r="C6" s="2" t="str">
        <f ca="1">INDEX('[1](2) Pengundi &amp; % Melayu'!$C$5:$C$40,MATCH($D6,'[1](2) Pengundi &amp; % Melayu'!$B$5:$B$40,0))</f>
        <v>Klawang</v>
      </c>
      <c r="D6" s="6">
        <f ca="1">INDEX('[1](2) Pengundi &amp; % Melayu'!$D$5:$D$40,MATCH($D6,'[1](2) Pengundi &amp; % Melayu'!$B$5:$B$40,0))</f>
        <v>13329</v>
      </c>
      <c r="E6" s="8">
        <f ca="1">INDEX('[1](1) Majoriti'!$I$4:$I$39,MATCH($D6,'[1](1) Majoriti'!$B$4:$B$39,0))</f>
        <v>-577</v>
      </c>
      <c r="F6" s="35" t="e">
        <f>#REF!+#REF!+#REF!+#REF!+#REF!+#REF!</f>
        <v>#REF!</v>
      </c>
      <c r="G6" s="36" t="e">
        <f>#REF!+#REF!+#REF!+#REF!+#REF!+#REF!</f>
        <v>#REF!</v>
      </c>
      <c r="H6" s="37" t="e">
        <f>#REF!</f>
        <v>#REF!</v>
      </c>
      <c r="I6" s="38" t="e">
        <f>#REF!</f>
        <v>#REF!</v>
      </c>
      <c r="J6" s="38" t="e">
        <f>#REF!</f>
        <v>#REF!</v>
      </c>
      <c r="K6" s="38" t="e">
        <f>#REF!</f>
        <v>#REF!</v>
      </c>
      <c r="L6" s="39" t="e">
        <f>#REF!</f>
        <v>#REF!</v>
      </c>
      <c r="M6" s="40" t="e">
        <f>#REF!</f>
        <v>#REF!</v>
      </c>
      <c r="N6" s="41" t="e">
        <f>#REF!</f>
        <v>#REF!</v>
      </c>
      <c r="O6" s="3" t="e">
        <f>#REF!</f>
        <v>#REF!</v>
      </c>
      <c r="P6" s="43" t="e">
        <f>#REF!</f>
        <v>#REF!</v>
      </c>
      <c r="Q6" s="44" t="e">
        <f>#REF!</f>
        <v>#REF!</v>
      </c>
    </row>
    <row r="7" spans="2:17" ht="16" customHeight="1" x14ac:dyDescent="0.2">
      <c r="B7" s="1" t="s">
        <v>8</v>
      </c>
      <c r="C7" s="2" t="str">
        <f ca="1">INDEX('[1](2) Pengundi &amp; % Melayu'!$C$5:$C$40,MATCH($D7,'[1](2) Pengundi &amp; % Melayu'!$B$5:$B$40,0))</f>
        <v>Serting</v>
      </c>
      <c r="D7" s="6">
        <f ca="1">INDEX('[1](2) Pengundi &amp; % Melayu'!$D$5:$D$40,MATCH($D7,'[1](2) Pengundi &amp; % Melayu'!$B$5:$B$40,0))</f>
        <v>30593</v>
      </c>
      <c r="E7" s="9">
        <f ca="1">INDEX('[1](1) Majoriti'!$I$4:$I$39,MATCH($D7,'[1](1) Majoriti'!$B$4:$B$39,0))</f>
        <v>843</v>
      </c>
      <c r="F7" s="35" t="e">
        <f>#REF!+#REF!+#REF!+#REF!+#REF!+#REF!</f>
        <v>#REF!</v>
      </c>
      <c r="G7" s="36" t="e">
        <f>#REF!+#REF!+#REF!+#REF!+#REF!+#REF!</f>
        <v>#REF!</v>
      </c>
      <c r="H7" s="37" t="e">
        <f>#REF!</f>
        <v>#REF!</v>
      </c>
      <c r="I7" s="38" t="e">
        <f>#REF!</f>
        <v>#REF!</v>
      </c>
      <c r="J7" s="38" t="e">
        <f>#REF!</f>
        <v>#REF!</v>
      </c>
      <c r="K7" s="38" t="e">
        <f>#REF!</f>
        <v>#REF!</v>
      </c>
      <c r="L7" s="39" t="e">
        <f>#REF!</f>
        <v>#REF!</v>
      </c>
      <c r="M7" s="40" t="e">
        <f>#REF!</f>
        <v>#REF!</v>
      </c>
      <c r="N7" s="41" t="e">
        <f>#REF!</f>
        <v>#REF!</v>
      </c>
      <c r="O7" s="3" t="e">
        <f>#REF!</f>
        <v>#REF!</v>
      </c>
      <c r="P7" s="43" t="e">
        <f>#REF!</f>
        <v>#REF!</v>
      </c>
      <c r="Q7" s="44" t="e">
        <f>#REF!</f>
        <v>#REF!</v>
      </c>
    </row>
    <row r="8" spans="2:17" ht="16" customHeight="1" x14ac:dyDescent="0.2">
      <c r="B8" s="1" t="s">
        <v>14</v>
      </c>
      <c r="C8" s="2" t="str">
        <f ca="1">INDEX('[1](2) Pengundi &amp; % Melayu'!$C$5:$C$40,MATCH($D8,'[1](2) Pengundi &amp; % Melayu'!$B$5:$B$40,0))</f>
        <v>Palong</v>
      </c>
      <c r="D8" s="6">
        <f ca="1">INDEX('[1](2) Pengundi &amp; % Melayu'!$D$5:$D$40,MATCH($D8,'[1](2) Pengundi &amp; % Melayu'!$B$5:$B$40,0))</f>
        <v>23548</v>
      </c>
      <c r="E8" s="8">
        <f ca="1">INDEX('[1](1) Majoriti'!$I$4:$I$39,MATCH($D8,'[1](1) Majoriti'!$B$4:$B$39,0))</f>
        <v>-564</v>
      </c>
      <c r="F8" s="35" t="e">
        <f>#REF!+#REF!+#REF!+#REF!+#REF!+#REF!</f>
        <v>#REF!</v>
      </c>
      <c r="G8" s="36" t="e">
        <f>#REF!+#REF!+#REF!+#REF!+#REF!+#REF!</f>
        <v>#REF!</v>
      </c>
      <c r="H8" s="37" t="e">
        <f>#REF!</f>
        <v>#REF!</v>
      </c>
      <c r="I8" s="38" t="e">
        <f>#REF!</f>
        <v>#REF!</v>
      </c>
      <c r="J8" s="38" t="e">
        <f>#REF!</f>
        <v>#REF!</v>
      </c>
      <c r="K8" s="38" t="e">
        <f>#REF!</f>
        <v>#REF!</v>
      </c>
      <c r="L8" s="39" t="e">
        <f>#REF!</f>
        <v>#REF!</v>
      </c>
      <c r="M8" s="40" t="e">
        <f>#REF!</f>
        <v>#REF!</v>
      </c>
      <c r="N8" s="41" t="e">
        <f>#REF!</f>
        <v>#REF!</v>
      </c>
      <c r="O8" s="3" t="e">
        <f>#REF!</f>
        <v>#REF!</v>
      </c>
      <c r="P8" s="43" t="e">
        <f>#REF!</f>
        <v>#REF!</v>
      </c>
      <c r="Q8" s="44" t="e">
        <f>#REF!</f>
        <v>#REF!</v>
      </c>
    </row>
    <row r="9" spans="2:17" ht="16" customHeight="1" x14ac:dyDescent="0.2">
      <c r="B9" s="1" t="s">
        <v>18</v>
      </c>
      <c r="C9" s="2" t="str">
        <f ca="1">INDEX('[1](2) Pengundi &amp; % Melayu'!$C$5:$C$40,MATCH($D9,'[1](2) Pengundi &amp; % Melayu'!$B$5:$B$40,0))</f>
        <v>Jeram Padang</v>
      </c>
      <c r="D9" s="6">
        <f ca="1">INDEX('[1](2) Pengundi &amp; % Melayu'!$D$5:$D$40,MATCH($D9,'[1](2) Pengundi &amp; % Melayu'!$B$5:$B$40,0))</f>
        <v>16539</v>
      </c>
      <c r="E9" s="8">
        <f ca="1">INDEX('[1](1) Majoriti'!$I$4:$I$39,MATCH($D9,'[1](1) Majoriti'!$B$4:$B$39,0))</f>
        <v>-693</v>
      </c>
      <c r="F9" s="35" t="e">
        <f>#REF!+#REF!+#REF!+#REF!+#REF!+#REF!</f>
        <v>#REF!</v>
      </c>
      <c r="G9" s="36" t="e">
        <f>#REF!+#REF!+#REF!+#REF!+#REF!+#REF!</f>
        <v>#REF!</v>
      </c>
      <c r="H9" s="37" t="e">
        <f>#REF!</f>
        <v>#REF!</v>
      </c>
      <c r="I9" s="38" t="e">
        <f>#REF!</f>
        <v>#REF!</v>
      </c>
      <c r="J9" s="38" t="e">
        <f>#REF!</f>
        <v>#REF!</v>
      </c>
      <c r="K9" s="38" t="e">
        <f>#REF!</f>
        <v>#REF!</v>
      </c>
      <c r="L9" s="39" t="e">
        <f>#REF!</f>
        <v>#REF!</v>
      </c>
      <c r="M9" s="40" t="e">
        <f>#REF!</f>
        <v>#REF!</v>
      </c>
      <c r="N9" s="41" t="e">
        <f>#REF!</f>
        <v>#REF!</v>
      </c>
      <c r="O9" s="42" t="e">
        <f>#REF!</f>
        <v>#REF!</v>
      </c>
      <c r="P9" s="43" t="e">
        <f>#REF!</f>
        <v>#REF!</v>
      </c>
      <c r="Q9" s="44" t="e">
        <f>#REF!</f>
        <v>#REF!</v>
      </c>
    </row>
    <row r="10" spans="2:17" ht="16" customHeight="1" x14ac:dyDescent="0.2">
      <c r="B10" s="1" t="s">
        <v>32</v>
      </c>
      <c r="C10" s="2" t="str">
        <f ca="1">INDEX('[1](2) Pengundi &amp; % Melayu'!$C$5:$C$40,MATCH($D10,'[1](2) Pengundi &amp; % Melayu'!$B$5:$B$40,0))</f>
        <v>Bahau</v>
      </c>
      <c r="D10" s="6">
        <f ca="1">INDEX('[1](2) Pengundi &amp; % Melayu'!$D$5:$D$40,MATCH($D10,'[1](2) Pengundi &amp; % Melayu'!$B$5:$B$40,0))</f>
        <v>25951</v>
      </c>
      <c r="E10" s="8">
        <f ca="1">INDEX('[1](1) Majoriti'!$I$4:$I$39,MATCH($D10,'[1](1) Majoriti'!$B$4:$B$39,0))</f>
        <v>-8408</v>
      </c>
      <c r="F10" s="35" t="e">
        <f>#REF!+#REF!+#REF!+#REF!+#REF!+#REF!</f>
        <v>#REF!</v>
      </c>
      <c r="G10" s="36" t="e">
        <f>#REF!+#REF!+#REF!+#REF!+#REF!+#REF!</f>
        <v>#REF!</v>
      </c>
      <c r="H10" s="37" t="e">
        <f>#REF!</f>
        <v>#REF!</v>
      </c>
      <c r="I10" s="38" t="e">
        <f>#REF!</f>
        <v>#REF!</v>
      </c>
      <c r="J10" s="38" t="e">
        <f>#REF!</f>
        <v>#REF!</v>
      </c>
      <c r="K10" s="38" t="e">
        <f>#REF!</f>
        <v>#REF!</v>
      </c>
      <c r="L10" s="39" t="e">
        <f>#REF!</f>
        <v>#REF!</v>
      </c>
      <c r="M10" s="40" t="e">
        <f>#REF!</f>
        <v>#REF!</v>
      </c>
      <c r="N10" s="41" t="e">
        <f>#REF!</f>
        <v>#REF!</v>
      </c>
      <c r="O10" s="42" t="e">
        <f>#REF!</f>
        <v>#REF!</v>
      </c>
      <c r="P10" s="43" t="e">
        <f>#REF!</f>
        <v>#REF!</v>
      </c>
      <c r="Q10" s="44" t="e">
        <f>#REF!</f>
        <v>#REF!</v>
      </c>
    </row>
    <row r="11" spans="2:17" ht="16" customHeight="1" x14ac:dyDescent="0.2">
      <c r="B11" s="1" t="s">
        <v>17</v>
      </c>
      <c r="C11" s="2" t="str">
        <f ca="1">INDEX('[1](2) Pengundi &amp; % Melayu'!$C$5:$C$40,MATCH($D11,'[1](2) Pengundi &amp; % Melayu'!$B$5:$B$40,0))</f>
        <v>Lenggeng</v>
      </c>
      <c r="D11" s="6">
        <f ca="1">INDEX('[1](2) Pengundi &amp; % Melayu'!$D$5:$D$40,MATCH($D11,'[1](2) Pengundi &amp; % Melayu'!$B$5:$B$40,0))</f>
        <v>28671</v>
      </c>
      <c r="E11" s="8">
        <f ca="1">INDEX('[1](1) Majoriti'!$I$4:$I$39,MATCH($D11,'[1](1) Majoriti'!$B$4:$B$39,0))</f>
        <v>-685</v>
      </c>
      <c r="F11" s="35" t="e">
        <f>#REF!+#REF!+#REF!+#REF!+#REF!+#REF!</f>
        <v>#REF!</v>
      </c>
      <c r="G11" s="36" t="e">
        <f>#REF!+#REF!+#REF!+#REF!+#REF!+#REF!</f>
        <v>#REF!</v>
      </c>
      <c r="H11" s="37" t="e">
        <f>#REF!</f>
        <v>#REF!</v>
      </c>
      <c r="I11" s="38" t="e">
        <f>#REF!</f>
        <v>#REF!</v>
      </c>
      <c r="J11" s="38" t="e">
        <f>#REF!</f>
        <v>#REF!</v>
      </c>
      <c r="K11" s="38" t="e">
        <f>#REF!</f>
        <v>#REF!</v>
      </c>
      <c r="L11" s="39" t="e">
        <f>#REF!</f>
        <v>#REF!</v>
      </c>
      <c r="M11" s="40" t="e">
        <f>#REF!</f>
        <v>#REF!</v>
      </c>
      <c r="N11" s="41" t="e">
        <f>#REF!</f>
        <v>#REF!</v>
      </c>
      <c r="O11" s="42" t="e">
        <f>#REF!</f>
        <v>#REF!</v>
      </c>
      <c r="P11" s="43" t="e">
        <f>#REF!</f>
        <v>#REF!</v>
      </c>
      <c r="Q11" s="44" t="e">
        <f>#REF!</f>
        <v>#REF!</v>
      </c>
    </row>
    <row r="12" spans="2:17" ht="16" customHeight="1" x14ac:dyDescent="0.2">
      <c r="B12" s="1" t="s">
        <v>35</v>
      </c>
      <c r="C12" s="2" t="str">
        <f ca="1">INDEX('[1](2) Pengundi &amp; % Melayu'!$C$5:$C$40,MATCH($D12,'[1](2) Pengundi &amp; % Melayu'!$B$5:$B$40,0))</f>
        <v>Nilai</v>
      </c>
      <c r="D12" s="6">
        <f ca="1">INDEX('[1](2) Pengundi &amp; % Melayu'!$D$5:$D$40,MATCH($D12,'[1](2) Pengundi &amp; % Melayu'!$B$5:$B$40,0))</f>
        <v>45487</v>
      </c>
      <c r="E12" s="8">
        <f ca="1">INDEX('[1](1) Majoriti'!$I$4:$I$39,MATCH($D12,'[1](1) Majoriti'!$B$4:$B$39,0))</f>
        <v>-10889</v>
      </c>
      <c r="F12" s="35" t="e">
        <f>#REF!+#REF!+#REF!+#REF!+#REF!+#REF!</f>
        <v>#REF!</v>
      </c>
      <c r="G12" s="36" t="e">
        <f>#REF!+#REF!+#REF!+#REF!+#REF!+#REF!</f>
        <v>#REF!</v>
      </c>
      <c r="H12" s="37" t="e">
        <f>#REF!</f>
        <v>#REF!</v>
      </c>
      <c r="I12" s="38" t="e">
        <f>#REF!</f>
        <v>#REF!</v>
      </c>
      <c r="J12" s="38" t="e">
        <f>#REF!</f>
        <v>#REF!</v>
      </c>
      <c r="K12" s="38" t="e">
        <f>#REF!</f>
        <v>#REF!</v>
      </c>
      <c r="L12" s="39" t="e">
        <f>#REF!</f>
        <v>#REF!</v>
      </c>
      <c r="M12" s="40" t="e">
        <f>#REF!</f>
        <v>#REF!</v>
      </c>
      <c r="N12" s="41" t="e">
        <f>#REF!</f>
        <v>#REF!</v>
      </c>
      <c r="O12" s="42" t="e">
        <f>#REF!</f>
        <v>#REF!</v>
      </c>
      <c r="P12" s="43" t="e">
        <f>#REF!</f>
        <v>#REF!</v>
      </c>
      <c r="Q12" s="44" t="e">
        <f>#REF!</f>
        <v>#REF!</v>
      </c>
    </row>
    <row r="13" spans="2:17" ht="16" customHeight="1" x14ac:dyDescent="0.2">
      <c r="B13" s="1" t="s">
        <v>37</v>
      </c>
      <c r="C13" s="2" t="str">
        <f ca="1">INDEX('[1](2) Pengundi &amp; % Melayu'!$C$5:$C$40,MATCH($D13,'[1](2) Pengundi &amp; % Melayu'!$B$5:$B$40,0))</f>
        <v>Lobak</v>
      </c>
      <c r="D13" s="6">
        <f ca="1">INDEX('[1](2) Pengundi &amp; % Melayu'!$D$5:$D$40,MATCH($D13,'[1](2) Pengundi &amp; % Melayu'!$B$5:$B$40,0))</f>
        <v>23141</v>
      </c>
      <c r="E13" s="8">
        <f ca="1">INDEX('[1](1) Majoriti'!$I$4:$I$39,MATCH($D13,'[1](1) Majoriti'!$B$4:$B$39,0))</f>
        <v>-13504</v>
      </c>
      <c r="F13" s="35" t="e">
        <f>#REF!+#REF!+#REF!+#REF!+#REF!+#REF!</f>
        <v>#REF!</v>
      </c>
      <c r="G13" s="36" t="e">
        <f>#REF!+#REF!+#REF!+#REF!+#REF!+#REF!</f>
        <v>#REF!</v>
      </c>
      <c r="H13" s="37" t="e">
        <f>#REF!</f>
        <v>#REF!</v>
      </c>
      <c r="I13" s="38" t="e">
        <f>#REF!</f>
        <v>#REF!</v>
      </c>
      <c r="J13" s="38" t="e">
        <f>#REF!</f>
        <v>#REF!</v>
      </c>
      <c r="K13" s="38" t="e">
        <f>#REF!</f>
        <v>#REF!</v>
      </c>
      <c r="L13" s="39" t="e">
        <f>#REF!</f>
        <v>#REF!</v>
      </c>
      <c r="M13" s="40" t="e">
        <f>#REF!</f>
        <v>#REF!</v>
      </c>
      <c r="N13" s="41" t="e">
        <f>#REF!</f>
        <v>#REF!</v>
      </c>
      <c r="O13" s="42" t="e">
        <f>#REF!</f>
        <v>#REF!</v>
      </c>
      <c r="P13" s="43" t="e">
        <f>#REF!</f>
        <v>#REF!</v>
      </c>
      <c r="Q13" s="44" t="e">
        <f>#REF!</f>
        <v>#REF!</v>
      </c>
    </row>
    <row r="14" spans="2:17" ht="16" customHeight="1" x14ac:dyDescent="0.2">
      <c r="B14" s="1" t="s">
        <v>26</v>
      </c>
      <c r="C14" s="2" t="str">
        <f ca="1">INDEX('[1](2) Pengundi &amp; % Melayu'!$C$5:$C$40,MATCH($D14,'[1](2) Pengundi &amp; % Melayu'!$B$5:$B$40,0))</f>
        <v>Temiang</v>
      </c>
      <c r="D14" s="6">
        <f ca="1">INDEX('[1](2) Pengundi &amp; % Melayu'!$D$5:$D$40,MATCH($D14,'[1](2) Pengundi &amp; % Melayu'!$B$5:$B$40,0))</f>
        <v>12975</v>
      </c>
      <c r="E14" s="8">
        <f ca="1">INDEX('[1](1) Majoriti'!$I$4:$I$39,MATCH($D14,'[1](1) Majoriti'!$B$4:$B$39,0))</f>
        <v>-3068</v>
      </c>
      <c r="F14" s="35" t="e">
        <f>#REF!+#REF!+#REF!+#REF!+#REF!+#REF!</f>
        <v>#REF!</v>
      </c>
      <c r="G14" s="36" t="e">
        <f>#REF!+#REF!+#REF!+#REF!+#REF!+#REF!</f>
        <v>#REF!</v>
      </c>
      <c r="H14" s="37" t="e">
        <f>#REF!</f>
        <v>#REF!</v>
      </c>
      <c r="I14" s="38" t="e">
        <f>#REF!</f>
        <v>#REF!</v>
      </c>
      <c r="J14" s="38" t="e">
        <f>#REF!</f>
        <v>#REF!</v>
      </c>
      <c r="K14" s="38" t="e">
        <f>#REF!</f>
        <v>#REF!</v>
      </c>
      <c r="L14" s="39" t="e">
        <f>#REF!</f>
        <v>#REF!</v>
      </c>
      <c r="M14" s="40" t="e">
        <f>#REF!</f>
        <v>#REF!</v>
      </c>
      <c r="N14" s="41" t="e">
        <f>#REF!</f>
        <v>#REF!</v>
      </c>
      <c r="O14" s="42" t="e">
        <f>#REF!</f>
        <v>#REF!</v>
      </c>
      <c r="P14" s="43" t="e">
        <f>#REF!</f>
        <v>#REF!</v>
      </c>
      <c r="Q14" s="44" t="e">
        <f>#REF!</f>
        <v>#REF!</v>
      </c>
    </row>
    <row r="15" spans="2:17" ht="16" customHeight="1" x14ac:dyDescent="0.2">
      <c r="B15" s="1" t="s">
        <v>24</v>
      </c>
      <c r="C15" s="2" t="str">
        <f ca="1">INDEX('[1](2) Pengundi &amp; % Melayu'!$C$5:$C$40,MATCH($D15,'[1](2) Pengundi &amp; % Melayu'!$B$5:$B$40,0))</f>
        <v>Sikamat</v>
      </c>
      <c r="D15" s="6">
        <f ca="1">INDEX('[1](2) Pengundi &amp; % Melayu'!$D$5:$D$40,MATCH($D15,'[1](2) Pengundi &amp; % Melayu'!$B$5:$B$40,0))</f>
        <v>33885</v>
      </c>
      <c r="E15" s="8">
        <f ca="1">INDEX('[1](1) Majoriti'!$I$4:$I$39,MATCH($D15,'[1](1) Majoriti'!$B$4:$B$39,0))</f>
        <v>-2662</v>
      </c>
      <c r="F15" s="35" t="e">
        <f>#REF!+#REF!+#REF!+#REF!+#REF!+#REF!</f>
        <v>#REF!</v>
      </c>
      <c r="G15" s="36" t="e">
        <f>#REF!+#REF!+#REF!+#REF!+#REF!+#REF!</f>
        <v>#REF!</v>
      </c>
      <c r="H15" s="37" t="e">
        <f>#REF!</f>
        <v>#REF!</v>
      </c>
      <c r="I15" s="38" t="e">
        <f>#REF!</f>
        <v>#REF!</v>
      </c>
      <c r="J15" s="38" t="e">
        <f>#REF!</f>
        <v>#REF!</v>
      </c>
      <c r="K15" s="38" t="e">
        <f>#REF!</f>
        <v>#REF!</v>
      </c>
      <c r="L15" s="39" t="e">
        <f>#REF!</f>
        <v>#REF!</v>
      </c>
      <c r="M15" s="40" t="e">
        <f>#REF!</f>
        <v>#REF!</v>
      </c>
      <c r="N15" s="41" t="e">
        <f>#REF!</f>
        <v>#REF!</v>
      </c>
      <c r="O15" s="42" t="e">
        <f>#REF!</f>
        <v>#REF!</v>
      </c>
      <c r="P15" s="43" t="e">
        <f>#REF!</f>
        <v>#REF!</v>
      </c>
      <c r="Q15" s="44" t="e">
        <f>#REF!</f>
        <v>#REF!</v>
      </c>
    </row>
    <row r="16" spans="2:17" ht="16" customHeight="1" x14ac:dyDescent="0.2">
      <c r="B16" s="1" t="s">
        <v>11</v>
      </c>
      <c r="C16" s="2" t="str">
        <f ca="1">INDEX('[1](2) Pengundi &amp; % Melayu'!$C$5:$C$40,MATCH($D16,'[1](2) Pengundi &amp; % Melayu'!$B$5:$B$40,0))</f>
        <v>Ampangan</v>
      </c>
      <c r="D16" s="6">
        <f ca="1">INDEX('[1](2) Pengundi &amp; % Melayu'!$D$5:$D$40,MATCH($D16,'[1](2) Pengundi &amp; % Melayu'!$B$5:$B$40,0))</f>
        <v>21338</v>
      </c>
      <c r="E16" s="8">
        <f ca="1">INDEX('[1](1) Majoriti'!$I$4:$I$39,MATCH($D16,'[1](1) Majoriti'!$B$4:$B$39,0))</f>
        <v>-329</v>
      </c>
      <c r="F16" s="35" t="e">
        <f>#REF!+#REF!+#REF!+#REF!+#REF!+#REF!</f>
        <v>#REF!</v>
      </c>
      <c r="G16" s="36" t="e">
        <f>#REF!+#REF!+#REF!+#REF!+#REF!+#REF!</f>
        <v>#REF!</v>
      </c>
      <c r="H16" s="37" t="e">
        <f>#REF!</f>
        <v>#REF!</v>
      </c>
      <c r="I16" s="38" t="e">
        <f>#REF!</f>
        <v>#REF!</v>
      </c>
      <c r="J16" s="38" t="e">
        <f>#REF!</f>
        <v>#REF!</v>
      </c>
      <c r="K16" s="38" t="e">
        <f>#REF!</f>
        <v>#REF!</v>
      </c>
      <c r="L16" s="39" t="e">
        <f>#REF!</f>
        <v>#REF!</v>
      </c>
      <c r="M16" s="40" t="e">
        <f>#REF!</f>
        <v>#REF!</v>
      </c>
      <c r="N16" s="41" t="e">
        <f>#REF!</f>
        <v>#REF!</v>
      </c>
      <c r="O16" s="42" t="e">
        <f>#REF!</f>
        <v>#REF!</v>
      </c>
      <c r="P16" s="43" t="e">
        <f>#REF!</f>
        <v>#REF!</v>
      </c>
      <c r="Q16" s="44" t="e">
        <f>#REF!</f>
        <v>#REF!</v>
      </c>
    </row>
    <row r="17" spans="2:17" ht="16" customHeight="1" x14ac:dyDescent="0.2">
      <c r="B17" s="1" t="s">
        <v>9</v>
      </c>
      <c r="C17" s="2" t="str">
        <f ca="1">INDEX('[1](2) Pengundi &amp; % Melayu'!$C$5:$C$40,MATCH($D17,'[1](2) Pengundi &amp; % Melayu'!$B$5:$B$40,0))</f>
        <v>Juasseh</v>
      </c>
      <c r="D17" s="6">
        <f ca="1">INDEX('[1](2) Pengundi &amp; % Melayu'!$D$5:$D$40,MATCH($D17,'[1](2) Pengundi &amp; % Melayu'!$B$5:$B$40,0))</f>
        <v>13669</v>
      </c>
      <c r="E17" s="8">
        <f ca="1">INDEX('[1](1) Majoriti'!$I$4:$I$39,MATCH($D17,'[1](1) Majoriti'!$B$4:$B$39,0))</f>
        <v>-78</v>
      </c>
      <c r="F17" s="35" t="e">
        <f>#REF!+#REF!+#REF!+#REF!+#REF!+#REF!</f>
        <v>#REF!</v>
      </c>
      <c r="G17" s="36" t="e">
        <f>#REF!+#REF!+#REF!+#REF!+#REF!+#REF!</f>
        <v>#REF!</v>
      </c>
      <c r="H17" s="37" t="e">
        <f>#REF!</f>
        <v>#REF!</v>
      </c>
      <c r="I17" s="38" t="e">
        <f>#REF!</f>
        <v>#REF!</v>
      </c>
      <c r="J17" s="38" t="e">
        <f>#REF!</f>
        <v>#REF!</v>
      </c>
      <c r="K17" s="38" t="e">
        <f>#REF!</f>
        <v>#REF!</v>
      </c>
      <c r="L17" s="39" t="e">
        <f>#REF!</f>
        <v>#REF!</v>
      </c>
      <c r="M17" s="40" t="e">
        <f>#REF!</f>
        <v>#REF!</v>
      </c>
      <c r="N17" s="41" t="e">
        <f>#REF!</f>
        <v>#REF!</v>
      </c>
      <c r="O17" s="42" t="e">
        <f>#REF!</f>
        <v>#REF!</v>
      </c>
      <c r="P17" s="43" t="e">
        <f>#REF!</f>
        <v>#REF!</v>
      </c>
      <c r="Q17" s="44" t="e">
        <f>#REF!</f>
        <v>#REF!</v>
      </c>
    </row>
    <row r="18" spans="2:17" ht="16" customHeight="1" x14ac:dyDescent="0.2">
      <c r="B18" s="1" t="s">
        <v>12</v>
      </c>
      <c r="C18" s="2" t="str">
        <f ca="1">INDEX('[1](2) Pengundi &amp; % Melayu'!$C$5:$C$40,MATCH($D18,'[1](2) Pengundi &amp; % Melayu'!$B$5:$B$40,0))</f>
        <v>Seri Menanti</v>
      </c>
      <c r="D18" s="6">
        <f ca="1">INDEX('[1](2) Pengundi &amp; % Melayu'!$D$5:$D$40,MATCH($D18,'[1](2) Pengundi &amp; % Melayu'!$B$5:$B$40,0))</f>
        <v>10100</v>
      </c>
      <c r="E18" s="8">
        <f ca="1">INDEX('[1](1) Majoriti'!$I$4:$I$39,MATCH($D18,'[1](1) Majoriti'!$B$4:$B$39,0))</f>
        <v>-370</v>
      </c>
      <c r="F18" s="35" t="e">
        <f>#REF!+#REF!+#REF!+#REF!+#REF!+#REF!</f>
        <v>#REF!</v>
      </c>
      <c r="G18" s="36" t="e">
        <f>#REF!+#REF!+#REF!+#REF!+#REF!+#REF!</f>
        <v>#REF!</v>
      </c>
      <c r="H18" s="37" t="e">
        <f>#REF!</f>
        <v>#REF!</v>
      </c>
      <c r="I18" s="38" t="e">
        <f>#REF!</f>
        <v>#REF!</v>
      </c>
      <c r="J18" s="38" t="e">
        <f>#REF!</f>
        <v>#REF!</v>
      </c>
      <c r="K18" s="38" t="e">
        <f>#REF!</f>
        <v>#REF!</v>
      </c>
      <c r="L18" s="39" t="e">
        <f>#REF!</f>
        <v>#REF!</v>
      </c>
      <c r="M18" s="40" t="e">
        <f>#REF!</f>
        <v>#REF!</v>
      </c>
      <c r="N18" s="41" t="e">
        <f>#REF!</f>
        <v>#REF!</v>
      </c>
      <c r="O18" s="42" t="e">
        <f>#REF!</f>
        <v>#REF!</v>
      </c>
      <c r="P18" s="43" t="e">
        <f>#REF!</f>
        <v>#REF!</v>
      </c>
      <c r="Q18" s="44" t="e">
        <f>#REF!</f>
        <v>#REF!</v>
      </c>
    </row>
    <row r="19" spans="2:17" ht="16" customHeight="1" x14ac:dyDescent="0.2">
      <c r="B19" s="1" t="s">
        <v>16</v>
      </c>
      <c r="C19" s="2" t="str">
        <f ca="1">INDEX('[1](2) Pengundi &amp; % Melayu'!$C$5:$C$40,MATCH($D19,'[1](2) Pengundi &amp; % Melayu'!$B$5:$B$40,0))</f>
        <v>Senaling</v>
      </c>
      <c r="D19" s="6">
        <f ca="1">INDEX('[1](2) Pengundi &amp; % Melayu'!$D$5:$D$40,MATCH($D19,'[1](2) Pengundi &amp; % Melayu'!$B$5:$B$40,0))</f>
        <v>9914</v>
      </c>
      <c r="E19" s="8">
        <f ca="1">INDEX('[1](1) Majoriti'!$I$4:$I$39,MATCH($D19,'[1](1) Majoriti'!$B$4:$B$39,0))</f>
        <v>-662</v>
      </c>
      <c r="F19" s="35" t="e">
        <f>#REF!+#REF!+#REF!+#REF!+#REF!+#REF!</f>
        <v>#REF!</v>
      </c>
      <c r="G19" s="36" t="e">
        <f>#REF!+#REF!+#REF!+#REF!+#REF!+#REF!</f>
        <v>#REF!</v>
      </c>
      <c r="H19" s="37" t="e">
        <f>#REF!</f>
        <v>#REF!</v>
      </c>
      <c r="I19" s="38" t="e">
        <f>#REF!</f>
        <v>#REF!</v>
      </c>
      <c r="J19" s="38" t="e">
        <f>#REF!</f>
        <v>#REF!</v>
      </c>
      <c r="K19" s="38" t="e">
        <f>#REF!</f>
        <v>#REF!</v>
      </c>
      <c r="L19" s="39" t="e">
        <f>#REF!</f>
        <v>#REF!</v>
      </c>
      <c r="M19" s="40" t="e">
        <f>#REF!</f>
        <v>#REF!</v>
      </c>
      <c r="N19" s="41" t="e">
        <f>#REF!</f>
        <v>#REF!</v>
      </c>
      <c r="O19" s="42" t="e">
        <f>#REF!</f>
        <v>#REF!</v>
      </c>
      <c r="P19" s="43" t="e">
        <f>#REF!</f>
        <v>#REF!</v>
      </c>
      <c r="Q19" s="44" t="e">
        <f>#REF!</f>
        <v>#REF!</v>
      </c>
    </row>
    <row r="20" spans="2:17" ht="16" customHeight="1" x14ac:dyDescent="0.2">
      <c r="B20" s="1" t="s">
        <v>19</v>
      </c>
      <c r="C20" s="2" t="str">
        <f ca="1">INDEX('[1](2) Pengundi &amp; % Melayu'!$C$5:$C$40,MATCH($D20,'[1](2) Pengundi &amp; % Melayu'!$B$5:$B$40,0))</f>
        <v>Pilah</v>
      </c>
      <c r="D20" s="6">
        <f ca="1">INDEX('[1](2) Pengundi &amp; % Melayu'!$D$5:$D$40,MATCH($D20,'[1](2) Pengundi &amp; % Melayu'!$B$5:$B$40,0))</f>
        <v>17963</v>
      </c>
      <c r="E20" s="8">
        <f ca="1">INDEX('[1](1) Majoriti'!$I$4:$I$39,MATCH($D20,'[1](1) Majoriti'!$B$4:$B$39,0))</f>
        <v>-1079</v>
      </c>
      <c r="F20" s="35" t="e">
        <f>#REF!+#REF!+#REF!+#REF!+#REF!+#REF!</f>
        <v>#REF!</v>
      </c>
      <c r="G20" s="36" t="e">
        <f>#REF!+#REF!+#REF!+#REF!+#REF!+#REF!</f>
        <v>#REF!</v>
      </c>
      <c r="H20" s="37" t="e">
        <f>#REF!</f>
        <v>#REF!</v>
      </c>
      <c r="I20" s="38" t="e">
        <f>#REF!</f>
        <v>#REF!</v>
      </c>
      <c r="J20" s="38" t="e">
        <f>#REF!</f>
        <v>#REF!</v>
      </c>
      <c r="K20" s="38" t="e">
        <f>#REF!</f>
        <v>#REF!</v>
      </c>
      <c r="L20" s="39" t="e">
        <f>#REF!</f>
        <v>#REF!</v>
      </c>
      <c r="M20" s="40" t="e">
        <f>#REF!</f>
        <v>#REF!</v>
      </c>
      <c r="N20" s="41" t="e">
        <f>#REF!</f>
        <v>#REF!</v>
      </c>
      <c r="O20" s="42" t="e">
        <f>#REF!</f>
        <v>#REF!</v>
      </c>
      <c r="P20" s="43" t="e">
        <f>#REF!</f>
        <v>#REF!</v>
      </c>
      <c r="Q20" s="44" t="e">
        <f>#REF!</f>
        <v>#REF!</v>
      </c>
    </row>
    <row r="21" spans="2:17" ht="16" customHeight="1" x14ac:dyDescent="0.2">
      <c r="B21" s="1" t="s">
        <v>21</v>
      </c>
      <c r="C21" s="2" t="str">
        <f ca="1">INDEX('[1](2) Pengundi &amp; % Melayu'!$C$5:$C$40,MATCH($D21,'[1](2) Pengundi &amp; % Melayu'!$B$5:$B$40,0))</f>
        <v>Johol</v>
      </c>
      <c r="D21" s="6">
        <f ca="1">INDEX('[1](2) Pengundi &amp; % Melayu'!$D$5:$D$40,MATCH($D21,'[1](2) Pengundi &amp; % Melayu'!$B$5:$B$40,0))</f>
        <v>12359</v>
      </c>
      <c r="E21" s="8">
        <f ca="1">INDEX('[1](1) Majoriti'!$I$4:$I$39,MATCH($D21,'[1](1) Majoriti'!$B$4:$B$39,0))</f>
        <v>-2117</v>
      </c>
      <c r="F21" s="35" t="e">
        <f>#REF!+#REF!+#REF!+#REF!+#REF!+#REF!</f>
        <v>#REF!</v>
      </c>
      <c r="G21" s="36" t="e">
        <f>#REF!+#REF!+#REF!+#REF!+#REF!+#REF!</f>
        <v>#REF!</v>
      </c>
      <c r="H21" s="37" t="e">
        <f>#REF!</f>
        <v>#REF!</v>
      </c>
      <c r="I21" s="38" t="e">
        <f>#REF!</f>
        <v>#REF!</v>
      </c>
      <c r="J21" s="38" t="e">
        <f>#REF!</f>
        <v>#REF!</v>
      </c>
      <c r="K21" s="38" t="e">
        <f>#REF!</f>
        <v>#REF!</v>
      </c>
      <c r="L21" s="39" t="e">
        <f>#REF!</f>
        <v>#REF!</v>
      </c>
      <c r="M21" s="40" t="e">
        <f>#REF!</f>
        <v>#REF!</v>
      </c>
      <c r="N21" s="41" t="e">
        <f>#REF!</f>
        <v>#REF!</v>
      </c>
      <c r="O21" s="42" t="e">
        <f>#REF!</f>
        <v>#REF!</v>
      </c>
      <c r="P21" s="43" t="e">
        <f>#REF!</f>
        <v>#REF!</v>
      </c>
      <c r="Q21" s="44" t="e">
        <f>#REF!</f>
        <v>#REF!</v>
      </c>
    </row>
    <row r="22" spans="2:17" ht="16" customHeight="1" x14ac:dyDescent="0.2">
      <c r="B22" s="1" t="s">
        <v>7</v>
      </c>
      <c r="C22" s="2" t="str">
        <f ca="1">INDEX('[1](2) Pengundi &amp; % Melayu'!$C$5:$C$40,MATCH($D22,'[1](2) Pengundi &amp; % Melayu'!$B$5:$B$40,0))</f>
        <v>Labu</v>
      </c>
      <c r="D22" s="6">
        <f ca="1">INDEX('[1](2) Pengundi &amp; % Melayu'!$D$5:$D$40,MATCH($D22,'[1](2) Pengundi &amp; % Melayu'!$B$5:$B$40,0))</f>
        <v>32575</v>
      </c>
      <c r="E22" s="9">
        <f ca="1">INDEX('[1](1) Majoriti'!$I$4:$I$39,MATCH($D22,'[1](1) Majoriti'!$B$4:$B$39,0))</f>
        <v>1640</v>
      </c>
      <c r="F22" s="35" t="e">
        <f>#REF!+#REF!+#REF!+#REF!+#REF!+#REF!</f>
        <v>#REF!</v>
      </c>
      <c r="G22" s="36" t="e">
        <f>#REF!+#REF!+#REF!+#REF!+#REF!+#REF!</f>
        <v>#REF!</v>
      </c>
      <c r="H22" s="37" t="e">
        <f>#REF!</f>
        <v>#REF!</v>
      </c>
      <c r="I22" s="38" t="e">
        <f>#REF!</f>
        <v>#REF!</v>
      </c>
      <c r="J22" s="38" t="e">
        <f>#REF!</f>
        <v>#REF!</v>
      </c>
      <c r="K22" s="38" t="e">
        <f>#REF!</f>
        <v>#REF!</v>
      </c>
      <c r="L22" s="39" t="e">
        <f>#REF!</f>
        <v>#REF!</v>
      </c>
      <c r="M22" s="40" t="e">
        <f>#REF!</f>
        <v>#REF!</v>
      </c>
      <c r="N22" s="41" t="e">
        <f>#REF!</f>
        <v>#REF!</v>
      </c>
      <c r="O22" s="42" t="e">
        <f>#REF!</f>
        <v>#REF!</v>
      </c>
      <c r="P22" s="43" t="e">
        <f>#REF!</f>
        <v>#REF!</v>
      </c>
      <c r="Q22" s="44" t="e">
        <f>#REF!</f>
        <v>#REF!</v>
      </c>
    </row>
    <row r="23" spans="2:17" ht="16" customHeight="1" x14ac:dyDescent="0.2">
      <c r="B23" s="1" t="s">
        <v>39</v>
      </c>
      <c r="C23" s="2" t="str">
        <f ca="1">INDEX('[1](2) Pengundi &amp; % Melayu'!$C$5:$C$40,MATCH($D23,'[1](2) Pengundi &amp; % Melayu'!$B$5:$B$40,0))</f>
        <v>Bukit Kepayang</v>
      </c>
      <c r="D23" s="6">
        <f ca="1">INDEX('[1](2) Pengundi &amp; % Melayu'!$D$5:$D$40,MATCH($D23,'[1](2) Pengundi &amp; % Melayu'!$B$5:$B$40,0))</f>
        <v>49248</v>
      </c>
      <c r="E23" s="8">
        <f ca="1">INDEX('[1](1) Majoriti'!$I$4:$I$39,MATCH($D23,'[1](1) Majoriti'!$B$4:$B$39,0))</f>
        <v>-19684</v>
      </c>
      <c r="F23" s="35" t="e">
        <f>#REF!+#REF!+#REF!+#REF!+#REF!+#REF!</f>
        <v>#REF!</v>
      </c>
      <c r="G23" s="36" t="e">
        <f>#REF!+#REF!+#REF!+#REF!+#REF!+#REF!</f>
        <v>#REF!</v>
      </c>
      <c r="H23" s="37" t="e">
        <f>#REF!</f>
        <v>#REF!</v>
      </c>
      <c r="I23" s="38" t="e">
        <f>#REF!</f>
        <v>#REF!</v>
      </c>
      <c r="J23" s="38" t="e">
        <f>#REF!</f>
        <v>#REF!</v>
      </c>
      <c r="K23" s="38" t="e">
        <f>#REF!</f>
        <v>#REF!</v>
      </c>
      <c r="L23" s="39" t="e">
        <f>#REF!</f>
        <v>#REF!</v>
      </c>
      <c r="M23" s="40" t="e">
        <f>#REF!</f>
        <v>#REF!</v>
      </c>
      <c r="N23" s="41" t="e">
        <f>#REF!</f>
        <v>#REF!</v>
      </c>
      <c r="O23" s="42" t="e">
        <f>#REF!</f>
        <v>#REF!</v>
      </c>
      <c r="P23" s="43" t="e">
        <f>#REF!</f>
        <v>#REF!</v>
      </c>
      <c r="Q23" s="44" t="e">
        <f>#REF!</f>
        <v>#REF!</v>
      </c>
    </row>
    <row r="24" spans="2:17" ht="16" customHeight="1" x14ac:dyDescent="0.2">
      <c r="B24" s="1" t="s">
        <v>31</v>
      </c>
      <c r="C24" s="2" t="str">
        <f ca="1">INDEX('[1](2) Pengundi &amp; % Melayu'!$C$5:$C$40,MATCH($D24,'[1](2) Pengundi &amp; % Melayu'!$B$5:$B$40,0))</f>
        <v>Rahang</v>
      </c>
      <c r="D24" s="6">
        <f ca="1">INDEX('[1](2) Pengundi &amp; % Melayu'!$D$5:$D$40,MATCH($D24,'[1](2) Pengundi &amp; % Melayu'!$B$5:$B$40,0))</f>
        <v>19608</v>
      </c>
      <c r="E24" s="8">
        <f ca="1">INDEX('[1](1) Majoriti'!$I$4:$I$39,MATCH($D24,'[1](1) Majoriti'!$B$4:$B$39,0))</f>
        <v>-6432</v>
      </c>
      <c r="F24" s="35" t="e">
        <f>#REF!+#REF!+#REF!+#REF!+#REF!+#REF!</f>
        <v>#REF!</v>
      </c>
      <c r="G24" s="36" t="e">
        <f>#REF!+#REF!+#REF!+#REF!+#REF!+#REF!</f>
        <v>#REF!</v>
      </c>
      <c r="H24" s="37" t="e">
        <f>#REF!</f>
        <v>#REF!</v>
      </c>
      <c r="I24" s="38" t="e">
        <f>#REF!</f>
        <v>#REF!</v>
      </c>
      <c r="J24" s="38" t="e">
        <f>#REF!</f>
        <v>#REF!</v>
      </c>
      <c r="K24" s="38" t="e">
        <f>#REF!</f>
        <v>#REF!</v>
      </c>
      <c r="L24" s="39" t="e">
        <f>#REF!</f>
        <v>#REF!</v>
      </c>
      <c r="M24" s="40" t="e">
        <f>#REF!</f>
        <v>#REF!</v>
      </c>
      <c r="N24" s="41" t="e">
        <f>#REF!</f>
        <v>#REF!</v>
      </c>
      <c r="O24" s="42" t="e">
        <f>#REF!</f>
        <v>#REF!</v>
      </c>
      <c r="P24" s="43" t="e">
        <f>#REF!</f>
        <v>#REF!</v>
      </c>
      <c r="Q24" s="44" t="e">
        <f>#REF!</f>
        <v>#REF!</v>
      </c>
    </row>
    <row r="25" spans="2:17" ht="16" customHeight="1" x14ac:dyDescent="0.2">
      <c r="B25" s="1" t="s">
        <v>38</v>
      </c>
      <c r="C25" s="2" t="str">
        <f ca="1">INDEX('[1](2) Pengundi &amp; % Melayu'!$C$5:$C$40,MATCH($D25,'[1](2) Pengundi &amp; % Melayu'!$B$5:$B$40,0))</f>
        <v>Mambau</v>
      </c>
      <c r="D25" s="6">
        <f ca="1">INDEX('[1](2) Pengundi &amp; % Melayu'!$D$5:$D$40,MATCH($D25,'[1](2) Pengundi &amp; % Melayu'!$B$5:$B$40,0))</f>
        <v>30316</v>
      </c>
      <c r="E25" s="8">
        <f ca="1">INDEX('[1](1) Majoriti'!$I$4:$I$39,MATCH($D25,'[1](1) Majoriti'!$B$4:$B$39,0))</f>
        <v>-14940</v>
      </c>
      <c r="F25" s="35" t="e">
        <f>#REF!+#REF!+#REF!+#REF!+#REF!+#REF!</f>
        <v>#REF!</v>
      </c>
      <c r="G25" s="36" t="e">
        <f>#REF!+#REF!+#REF!+#REF!+#REF!+#REF!</f>
        <v>#REF!</v>
      </c>
      <c r="H25" s="37" t="e">
        <f>#REF!</f>
        <v>#REF!</v>
      </c>
      <c r="I25" s="38" t="e">
        <f>#REF!</f>
        <v>#REF!</v>
      </c>
      <c r="J25" s="38" t="e">
        <f>#REF!</f>
        <v>#REF!</v>
      </c>
      <c r="K25" s="38" t="e">
        <f>#REF!</f>
        <v>#REF!</v>
      </c>
      <c r="L25" s="39" t="e">
        <f>#REF!</f>
        <v>#REF!</v>
      </c>
      <c r="M25" s="40" t="e">
        <f>#REF!</f>
        <v>#REF!</v>
      </c>
      <c r="N25" s="41" t="e">
        <f>#REF!</f>
        <v>#REF!</v>
      </c>
      <c r="O25" s="42" t="e">
        <f>#REF!</f>
        <v>#REF!</v>
      </c>
      <c r="P25" s="43" t="e">
        <f>#REF!</f>
        <v>#REF!</v>
      </c>
      <c r="Q25" s="44" t="e">
        <f>#REF!</f>
        <v>#REF!</v>
      </c>
    </row>
    <row r="26" spans="2:17" ht="16" customHeight="1" x14ac:dyDescent="0.2">
      <c r="B26" s="1" t="s">
        <v>36</v>
      </c>
      <c r="C26" s="2" t="str">
        <f ca="1">INDEX('[1](2) Pengundi &amp; % Melayu'!$C$5:$C$40,MATCH($D26,'[1](2) Pengundi &amp; % Melayu'!$B$5:$B$40,0))</f>
        <v>Seremban Jaya</v>
      </c>
      <c r="D26" s="6">
        <f ca="1">INDEX('[1](2) Pengundi &amp; % Melayu'!$D$5:$D$40,MATCH($D26,'[1](2) Pengundi &amp; % Melayu'!$B$5:$B$40,0))</f>
        <v>32899</v>
      </c>
      <c r="E26" s="8">
        <f ca="1">INDEX('[1](1) Majoriti'!$I$4:$I$39,MATCH($D26,'[1](1) Majoriti'!$B$4:$B$39,0))</f>
        <v>-12703</v>
      </c>
      <c r="F26" s="35" t="e">
        <f>#REF!+#REF!+#REF!+#REF!+#REF!+#REF!</f>
        <v>#REF!</v>
      </c>
      <c r="G26" s="36" t="e">
        <f>#REF!+#REF!+#REF!+#REF!+#REF!+#REF!</f>
        <v>#REF!</v>
      </c>
      <c r="H26" s="37" t="e">
        <f>#REF!</f>
        <v>#REF!</v>
      </c>
      <c r="I26" s="38" t="e">
        <f>#REF!</f>
        <v>#REF!</v>
      </c>
      <c r="J26" s="38" t="e">
        <f>#REF!</f>
        <v>#REF!</v>
      </c>
      <c r="K26" s="38" t="e">
        <f>#REF!</f>
        <v>#REF!</v>
      </c>
      <c r="L26" s="39" t="e">
        <f>#REF!</f>
        <v>#REF!</v>
      </c>
      <c r="M26" s="40" t="e">
        <f>#REF!</f>
        <v>#REF!</v>
      </c>
      <c r="N26" s="41" t="e">
        <f>#REF!</f>
        <v>#REF!</v>
      </c>
      <c r="O26" s="42" t="e">
        <f>#REF!</f>
        <v>#REF!</v>
      </c>
      <c r="P26" s="43" t="e">
        <f>#REF!</f>
        <v>#REF!</v>
      </c>
      <c r="Q26" s="44" t="e">
        <f>#REF!</f>
        <v>#REF!</v>
      </c>
    </row>
    <row r="27" spans="2:17" ht="16" customHeight="1" x14ac:dyDescent="0.2">
      <c r="B27" s="1" t="s">
        <v>4</v>
      </c>
      <c r="C27" s="2" t="str">
        <f ca="1">INDEX('[1](2) Pengundi &amp; % Melayu'!$C$5:$C$40,MATCH($D27,'[1](2) Pengundi &amp; % Melayu'!$B$5:$B$40,0))</f>
        <v>Paroi</v>
      </c>
      <c r="D27" s="6">
        <f ca="1">INDEX('[1](2) Pengundi &amp; % Melayu'!$D$5:$D$40,MATCH($D27,'[1](2) Pengundi &amp; % Melayu'!$B$5:$B$40,0))</f>
        <v>64582</v>
      </c>
      <c r="E27" s="9">
        <f ca="1">INDEX('[1](1) Majoriti'!$I$4:$I$39,MATCH($D27,'[1](1) Majoriti'!$B$4:$B$39,0))</f>
        <v>5539</v>
      </c>
      <c r="F27" s="35" t="e">
        <f>#REF!+#REF!+#REF!+#REF!+#REF!+#REF!</f>
        <v>#REF!</v>
      </c>
      <c r="G27" s="36" t="e">
        <f>#REF!+#REF!+#REF!+#REF!+#REF!+#REF!</f>
        <v>#REF!</v>
      </c>
      <c r="H27" s="37" t="e">
        <f>#REF!</f>
        <v>#REF!</v>
      </c>
      <c r="I27" s="38" t="e">
        <f>#REF!</f>
        <v>#REF!</v>
      </c>
      <c r="J27" s="38" t="e">
        <f>#REF!</f>
        <v>#REF!</v>
      </c>
      <c r="K27" s="38" t="e">
        <f>#REF!</f>
        <v>#REF!</v>
      </c>
      <c r="L27" s="39" t="e">
        <f>#REF!</f>
        <v>#REF!</v>
      </c>
      <c r="M27" s="40" t="e">
        <f>#REF!</f>
        <v>#REF!</v>
      </c>
      <c r="N27" s="41" t="e">
        <f>#REF!</f>
        <v>#REF!</v>
      </c>
      <c r="O27" s="42" t="e">
        <f>#REF!</f>
        <v>#REF!</v>
      </c>
      <c r="P27" s="43" t="e">
        <f>#REF!</f>
        <v>#REF!</v>
      </c>
      <c r="Q27" s="44" t="e">
        <f>#REF!</f>
        <v>#REF!</v>
      </c>
    </row>
    <row r="28" spans="2:17" ht="16" customHeight="1" x14ac:dyDescent="0.2">
      <c r="B28" s="1" t="s">
        <v>28</v>
      </c>
      <c r="C28" s="2" t="str">
        <f ca="1">INDEX('[1](2) Pengundi &amp; % Melayu'!$C$5:$C$40,MATCH($D28,'[1](2) Pengundi &amp; % Melayu'!$B$5:$B$40,0))</f>
        <v>Chembong</v>
      </c>
      <c r="D28" s="6">
        <f ca="1">INDEX('[1](2) Pengundi &amp; % Melayu'!$D$5:$D$40,MATCH($D28,'[1](2) Pengundi &amp; % Melayu'!$B$5:$B$40,0))</f>
        <v>26440</v>
      </c>
      <c r="E28" s="8">
        <f ca="1">INDEX('[1](1) Majoriti'!$I$4:$I$39,MATCH($D28,'[1](1) Majoriti'!$B$4:$B$39,0))</f>
        <v>-4335</v>
      </c>
      <c r="F28" s="35" t="e">
        <f>#REF!+#REF!+#REF!+#REF!+#REF!+#REF!</f>
        <v>#REF!</v>
      </c>
      <c r="G28" s="36" t="e">
        <f>#REF!+#REF!+#REF!+#REF!+#REF!+#REF!</f>
        <v>#REF!</v>
      </c>
      <c r="H28" s="37" t="e">
        <f>#REF!</f>
        <v>#REF!</v>
      </c>
      <c r="I28" s="38" t="e">
        <f>#REF!</f>
        <v>#REF!</v>
      </c>
      <c r="J28" s="38" t="e">
        <f>#REF!</f>
        <v>#REF!</v>
      </c>
      <c r="K28" s="38" t="e">
        <f>#REF!</f>
        <v>#REF!</v>
      </c>
      <c r="L28" s="39" t="e">
        <f>#REF!</f>
        <v>#REF!</v>
      </c>
      <c r="M28" s="40" t="e">
        <f>#REF!</f>
        <v>#REF!</v>
      </c>
      <c r="N28" s="41" t="e">
        <f>#REF!</f>
        <v>#REF!</v>
      </c>
      <c r="O28" s="42" t="e">
        <f>#REF!</f>
        <v>#REF!</v>
      </c>
      <c r="P28" s="43" t="e">
        <f>#REF!</f>
        <v>#REF!</v>
      </c>
      <c r="Q28" s="44" t="e">
        <f>#REF!</f>
        <v>#REF!</v>
      </c>
    </row>
    <row r="29" spans="2:17" ht="16" customHeight="1" x14ac:dyDescent="0.2">
      <c r="B29" s="1" t="s">
        <v>34</v>
      </c>
      <c r="C29" s="2" t="str">
        <f ca="1">INDEX('[1](2) Pengundi &amp; % Melayu'!$C$5:$C$40,MATCH($D29,'[1](2) Pengundi &amp; % Melayu'!$B$5:$B$40,0))</f>
        <v>Rantau</v>
      </c>
      <c r="D29" s="6">
        <f ca="1">INDEX('[1](2) Pengundi &amp; % Melayu'!$D$5:$D$40,MATCH($D29,'[1](2) Pengundi &amp; % Melayu'!$B$5:$B$40,0))</f>
        <v>34636</v>
      </c>
      <c r="E29" s="8">
        <f ca="1">INDEX('[1](1) Majoriti'!$I$4:$I$39,MATCH($D29,'[1](1) Majoriti'!$B$4:$B$39,0))</f>
        <v>-10280</v>
      </c>
      <c r="F29" s="35" t="e">
        <f>#REF!+#REF!+#REF!+#REF!+#REF!+#REF!</f>
        <v>#REF!</v>
      </c>
      <c r="G29" s="36" t="e">
        <f>#REF!+#REF!+#REF!+#REF!+#REF!+#REF!</f>
        <v>#REF!</v>
      </c>
      <c r="H29" s="37" t="e">
        <f>#REF!</f>
        <v>#REF!</v>
      </c>
      <c r="I29" s="38" t="e">
        <f>#REF!</f>
        <v>#REF!</v>
      </c>
      <c r="J29" s="38" t="e">
        <f>#REF!</f>
        <v>#REF!</v>
      </c>
      <c r="K29" s="38" t="e">
        <f>#REF!</f>
        <v>#REF!</v>
      </c>
      <c r="L29" s="39" t="e">
        <f>#REF!</f>
        <v>#REF!</v>
      </c>
      <c r="M29" s="40" t="e">
        <f>#REF!</f>
        <v>#REF!</v>
      </c>
      <c r="N29" s="41" t="e">
        <f>#REF!</f>
        <v>#REF!</v>
      </c>
      <c r="O29" s="42" t="e">
        <f>#REF!</f>
        <v>#REF!</v>
      </c>
      <c r="P29" s="43" t="e">
        <f>#REF!</f>
        <v>#REF!</v>
      </c>
      <c r="Q29" s="44" t="e">
        <f>#REF!</f>
        <v>#REF!</v>
      </c>
    </row>
    <row r="30" spans="2:17" ht="16" customHeight="1" x14ac:dyDescent="0.2">
      <c r="B30" s="1" t="s">
        <v>10</v>
      </c>
      <c r="C30" s="2" t="str">
        <f ca="1">INDEX('[1](2) Pengundi &amp; % Melayu'!$C$5:$C$40,MATCH($D30,'[1](2) Pengundi &amp; % Melayu'!$B$5:$B$40,0))</f>
        <v>Kota</v>
      </c>
      <c r="D30" s="6">
        <f ca="1">INDEX('[1](2) Pengundi &amp; % Melayu'!$D$5:$D$40,MATCH($D30,'[1](2) Pengundi &amp; % Melayu'!$B$5:$B$40,0))</f>
        <v>16730</v>
      </c>
      <c r="E30" s="8">
        <f ca="1">INDEX('[1](1) Majoriti'!$I$4:$I$39,MATCH($D30,'[1](1) Majoriti'!$B$4:$B$39,0))</f>
        <v>-135</v>
      </c>
      <c r="F30" s="35" t="e">
        <f>#REF!+#REF!+#REF!+#REF!+#REF!+#REF!</f>
        <v>#REF!</v>
      </c>
      <c r="G30" s="36" t="e">
        <f>#REF!+#REF!+#REF!+#REF!+#REF!+#REF!</f>
        <v>#REF!</v>
      </c>
      <c r="H30" s="37" t="e">
        <f>#REF!</f>
        <v>#REF!</v>
      </c>
      <c r="I30" s="38" t="e">
        <f>#REF!</f>
        <v>#REF!</v>
      </c>
      <c r="J30" s="38" t="e">
        <f>#REF!</f>
        <v>#REF!</v>
      </c>
      <c r="K30" s="38" t="e">
        <f>#REF!</f>
        <v>#REF!</v>
      </c>
      <c r="L30" s="39" t="e">
        <f>#REF!</f>
        <v>#REF!</v>
      </c>
      <c r="M30" s="40" t="e">
        <f>#REF!</f>
        <v>#REF!</v>
      </c>
      <c r="N30" s="41" t="e">
        <f>#REF!</f>
        <v>#REF!</v>
      </c>
      <c r="O30" s="42" t="e">
        <f>#REF!</f>
        <v>#REF!</v>
      </c>
      <c r="P30" s="43" t="e">
        <f>#REF!</f>
        <v>#REF!</v>
      </c>
      <c r="Q30" s="44" t="e">
        <f>#REF!</f>
        <v>#REF!</v>
      </c>
    </row>
    <row r="31" spans="2:17" ht="16" customHeight="1" x14ac:dyDescent="0.2">
      <c r="B31" s="1" t="s">
        <v>30</v>
      </c>
      <c r="C31" s="2" t="str">
        <f ca="1">INDEX('[1](2) Pengundi &amp; % Melayu'!$C$5:$C$40,MATCH($D31,'[1](2) Pengundi &amp; % Melayu'!$B$5:$B$40,0))</f>
        <v>Chuah</v>
      </c>
      <c r="D31" s="6">
        <f ca="1">INDEX('[1](2) Pengundi &amp; % Melayu'!$D$5:$D$40,MATCH($D31,'[1](2) Pengundi &amp; % Melayu'!$B$5:$B$40,0))</f>
        <v>15141</v>
      </c>
      <c r="E31" s="8">
        <f ca="1">INDEX('[1](1) Majoriti'!$I$4:$I$39,MATCH($D31,'[1](1) Majoriti'!$B$4:$B$39,0))</f>
        <v>-6298</v>
      </c>
      <c r="F31" s="35" t="e">
        <f>#REF!+#REF!+#REF!+#REF!+#REF!+#REF!</f>
        <v>#REF!</v>
      </c>
      <c r="G31" s="36" t="e">
        <f>#REF!+#REF!+#REF!+#REF!+#REF!+#REF!</f>
        <v>#REF!</v>
      </c>
      <c r="H31" s="37" t="e">
        <f>#REF!</f>
        <v>#REF!</v>
      </c>
      <c r="I31" s="38" t="e">
        <f>#REF!</f>
        <v>#REF!</v>
      </c>
      <c r="J31" s="38" t="e">
        <f>#REF!</f>
        <v>#REF!</v>
      </c>
      <c r="K31" s="38" t="e">
        <f>#REF!</f>
        <v>#REF!</v>
      </c>
      <c r="L31" s="39" t="e">
        <f>#REF!</f>
        <v>#REF!</v>
      </c>
      <c r="M31" s="40" t="e">
        <f>#REF!</f>
        <v>#REF!</v>
      </c>
      <c r="N31" s="41" t="e">
        <f>#REF!</f>
        <v>#REF!</v>
      </c>
      <c r="O31" s="42" t="e">
        <f>#REF!</f>
        <v>#REF!</v>
      </c>
      <c r="P31" s="43" t="e">
        <f>#REF!</f>
        <v>#REF!</v>
      </c>
      <c r="Q31" s="44" t="e">
        <f>#REF!</f>
        <v>#REF!</v>
      </c>
    </row>
    <row r="32" spans="2:17" ht="16" customHeight="1" x14ac:dyDescent="0.2">
      <c r="B32" s="1" t="s">
        <v>33</v>
      </c>
      <c r="C32" s="2" t="str">
        <f ca="1">INDEX('[1](2) Pengundi &amp; % Melayu'!$C$5:$C$40,MATCH($D32,'[1](2) Pengundi &amp; % Melayu'!$B$5:$B$40,0))</f>
        <v>Lukut</v>
      </c>
      <c r="D32" s="6">
        <f ca="1">INDEX('[1](2) Pengundi &amp; % Melayu'!$D$5:$D$40,MATCH($D32,'[1](2) Pengundi &amp; % Melayu'!$B$5:$B$40,0))</f>
        <v>28010</v>
      </c>
      <c r="E32" s="8">
        <f ca="1">INDEX('[1](1) Majoriti'!$I$4:$I$39,MATCH($D32,'[1](1) Majoriti'!$B$4:$B$39,0))</f>
        <v>-10135</v>
      </c>
      <c r="F32" s="35" t="e">
        <f>#REF!+#REF!+#REF!+#REF!+#REF!+#REF!</f>
        <v>#REF!</v>
      </c>
      <c r="G32" s="36" t="e">
        <f>#REF!+#REF!+#REF!+#REF!+#REF!+#REF!</f>
        <v>#REF!</v>
      </c>
      <c r="H32" s="37" t="e">
        <f>#REF!</f>
        <v>#REF!</v>
      </c>
      <c r="I32" s="38" t="e">
        <f>#REF!</f>
        <v>#REF!</v>
      </c>
      <c r="J32" s="38" t="e">
        <f>#REF!</f>
        <v>#REF!</v>
      </c>
      <c r="K32" s="38" t="e">
        <f>#REF!</f>
        <v>#REF!</v>
      </c>
      <c r="L32" s="39" t="e">
        <f>#REF!</f>
        <v>#REF!</v>
      </c>
      <c r="M32" s="40" t="e">
        <f>#REF!</f>
        <v>#REF!</v>
      </c>
      <c r="N32" s="41" t="e">
        <f>#REF!</f>
        <v>#REF!</v>
      </c>
      <c r="O32" s="42" t="e">
        <f>#REF!</f>
        <v>#REF!</v>
      </c>
      <c r="P32" s="43" t="e">
        <f>#REF!</f>
        <v>#REF!</v>
      </c>
      <c r="Q32" s="44" t="e">
        <f>#REF!</f>
        <v>#REF!</v>
      </c>
    </row>
    <row r="33" spans="2:17" ht="16" customHeight="1" x14ac:dyDescent="0.2">
      <c r="B33" s="1" t="s">
        <v>5</v>
      </c>
      <c r="C33" s="2" t="str">
        <f ca="1">INDEX('[1](2) Pengundi &amp; % Melayu'!$C$5:$C$40,MATCH($D33,'[1](2) Pengundi &amp; % Melayu'!$B$5:$B$40,0))</f>
        <v>Bagan Pinang</v>
      </c>
      <c r="D33" s="6">
        <f ca="1">INDEX('[1](2) Pengundi &amp; % Melayu'!$D$5:$D$40,MATCH($D33,'[1](2) Pengundi &amp; % Melayu'!$B$5:$B$40,0))</f>
        <v>27926</v>
      </c>
      <c r="E33" s="9">
        <f ca="1">INDEX('[1](1) Majoriti'!$I$4:$I$39,MATCH($D33,'[1](1) Majoriti'!$B$4:$B$39,0))</f>
        <v>3426</v>
      </c>
      <c r="F33" s="35" t="e">
        <f>#REF!+#REF!+#REF!+#REF!+#REF!+#REF!</f>
        <v>#REF!</v>
      </c>
      <c r="G33" s="36" t="e">
        <f>#REF!+#REF!+#REF!+#REF!+#REF!+#REF!</f>
        <v>#REF!</v>
      </c>
      <c r="H33" s="37" t="e">
        <f>#REF!</f>
        <v>#REF!</v>
      </c>
      <c r="I33" s="38" t="e">
        <f>#REF!</f>
        <v>#REF!</v>
      </c>
      <c r="J33" s="38" t="e">
        <f>#REF!</f>
        <v>#REF!</v>
      </c>
      <c r="K33" s="38" t="e">
        <f>#REF!</f>
        <v>#REF!</v>
      </c>
      <c r="L33" s="39" t="e">
        <f>#REF!</f>
        <v>#REF!</v>
      </c>
      <c r="M33" s="40" t="e">
        <f>#REF!</f>
        <v>#REF!</v>
      </c>
      <c r="N33" s="41" t="e">
        <f>#REF!</f>
        <v>#REF!</v>
      </c>
      <c r="O33" s="42" t="e">
        <f>#REF!</f>
        <v>#REF!</v>
      </c>
      <c r="P33" s="43" t="e">
        <f>#REF!</f>
        <v>#REF!</v>
      </c>
      <c r="Q33" s="44" t="e">
        <f>#REF!</f>
        <v>#REF!</v>
      </c>
    </row>
    <row r="34" spans="2:17" ht="16" customHeight="1" x14ac:dyDescent="0.2">
      <c r="B34" s="1" t="s">
        <v>20</v>
      </c>
      <c r="C34" s="2" t="str">
        <f ca="1">INDEX('[1](2) Pengundi &amp; % Melayu'!$C$5:$C$40,MATCH($D34,'[1](2) Pengundi &amp; % Melayu'!$B$5:$B$40,0))</f>
        <v>Linggi</v>
      </c>
      <c r="D34" s="6">
        <f ca="1">INDEX('[1](2) Pengundi &amp; % Melayu'!$D$5:$D$40,MATCH($D34,'[1](2) Pengundi &amp; % Melayu'!$B$5:$B$40,0))</f>
        <v>20768</v>
      </c>
      <c r="E34" s="8">
        <f ca="1">INDEX('[1](1) Majoriti'!$I$4:$I$39,MATCH($D34,'[1](1) Majoriti'!$B$4:$B$39,0))</f>
        <v>-1461</v>
      </c>
      <c r="F34" s="35" t="e">
        <f>#REF!+#REF!+#REF!+#REF!+#REF!+#REF!</f>
        <v>#REF!</v>
      </c>
      <c r="G34" s="36" t="e">
        <f>#REF!+#REF!+#REF!+#REF!+#REF!+#REF!</f>
        <v>#REF!</v>
      </c>
      <c r="H34" s="37" t="e">
        <f>#REF!</f>
        <v>#REF!</v>
      </c>
      <c r="I34" s="38" t="e">
        <f>#REF!</f>
        <v>#REF!</v>
      </c>
      <c r="J34" s="38" t="e">
        <f>#REF!</f>
        <v>#REF!</v>
      </c>
      <c r="K34" s="38" t="e">
        <f>#REF!</f>
        <v>#REF!</v>
      </c>
      <c r="L34" s="39" t="e">
        <f>#REF!</f>
        <v>#REF!</v>
      </c>
      <c r="M34" s="40" t="e">
        <f>#REF!</f>
        <v>#REF!</v>
      </c>
      <c r="N34" s="41" t="e">
        <f>#REF!</f>
        <v>#REF!</v>
      </c>
      <c r="O34" s="42" t="e">
        <f>#REF!</f>
        <v>#REF!</v>
      </c>
      <c r="P34" s="43" t="e">
        <f>#REF!</f>
        <v>#REF!</v>
      </c>
      <c r="Q34" s="44" t="e">
        <f>#REF!</f>
        <v>#REF!</v>
      </c>
    </row>
    <row r="35" spans="2:17" ht="16" customHeight="1" x14ac:dyDescent="0.2">
      <c r="B35" s="1" t="s">
        <v>27</v>
      </c>
      <c r="C35" s="2" t="str">
        <f ca="1">INDEX('[1](2) Pengundi &amp; % Melayu'!$C$5:$C$40,MATCH($D35,'[1](2) Pengundi &amp; % Melayu'!$B$5:$B$40,0))</f>
        <v>Sri Tanjung</v>
      </c>
      <c r="D35" s="6">
        <f ca="1">INDEX('[1](2) Pengundi &amp; % Melayu'!$D$5:$D$40,MATCH($D35,'[1](2) Pengundi &amp; % Melayu'!$B$5:$B$40,0))</f>
        <v>19585</v>
      </c>
      <c r="E35" s="8">
        <f ca="1">INDEX('[1](1) Majoriti'!$I$4:$I$39,MATCH($D35,'[1](1) Majoriti'!$B$4:$B$39,0))</f>
        <v>-3996</v>
      </c>
      <c r="F35" s="35" t="e">
        <f>#REF!+#REF!+#REF!+#REF!+#REF!+#REF!</f>
        <v>#REF!</v>
      </c>
      <c r="G35" s="36" t="e">
        <f>#REF!+#REF!+#REF!+#REF!+#REF!+#REF!</f>
        <v>#REF!</v>
      </c>
      <c r="H35" s="37" t="e">
        <f>#REF!</f>
        <v>#REF!</v>
      </c>
      <c r="I35" s="38" t="e">
        <f>#REF!</f>
        <v>#REF!</v>
      </c>
      <c r="J35" s="38" t="e">
        <f>#REF!</f>
        <v>#REF!</v>
      </c>
      <c r="K35" s="38" t="e">
        <f>#REF!</f>
        <v>#REF!</v>
      </c>
      <c r="L35" s="39" t="e">
        <f>#REF!</f>
        <v>#REF!</v>
      </c>
      <c r="M35" s="40" t="e">
        <f>#REF!</f>
        <v>#REF!</v>
      </c>
      <c r="N35" s="41" t="e">
        <f>#REF!</f>
        <v>#REF!</v>
      </c>
      <c r="O35" s="42" t="e">
        <f>#REF!</f>
        <v>#REF!</v>
      </c>
      <c r="P35" s="43" t="e">
        <f>#REF!</f>
        <v>#REF!</v>
      </c>
      <c r="Q35" s="44" t="e">
        <f>#REF!</f>
        <v>#REF!</v>
      </c>
    </row>
    <row r="36" spans="2:17" ht="16" customHeight="1" x14ac:dyDescent="0.2">
      <c r="B36" s="1" t="s">
        <v>6</v>
      </c>
      <c r="C36" s="2" t="str">
        <f ca="1">INDEX('[1](2) Pengundi &amp; % Melayu'!$C$5:$C$40,MATCH($D36,'[1](2) Pengundi &amp; % Melayu'!$B$5:$B$40,0))</f>
        <v>Gemas</v>
      </c>
      <c r="D36" s="6">
        <f ca="1">INDEX('[1](2) Pengundi &amp; % Melayu'!$D$5:$D$40,MATCH($D36,'[1](2) Pengundi &amp; % Melayu'!$B$5:$B$40,0))</f>
        <v>29235</v>
      </c>
      <c r="E36" s="9">
        <f ca="1">INDEX('[1](1) Majoriti'!$I$4:$I$39,MATCH($D36,'[1](1) Majoriti'!$B$4:$B$39,0))</f>
        <v>3120</v>
      </c>
      <c r="F36" s="35" t="e">
        <f>#REF!+#REF!+#REF!+#REF!+#REF!+#REF!</f>
        <v>#REF!</v>
      </c>
      <c r="G36" s="36" t="e">
        <f>#REF!+#REF!+#REF!+#REF!+#REF!+#REF!</f>
        <v>#REF!</v>
      </c>
      <c r="H36" s="37" t="e">
        <f>#REF!</f>
        <v>#REF!</v>
      </c>
      <c r="I36" s="38" t="e">
        <f>#REF!</f>
        <v>#REF!</v>
      </c>
      <c r="J36" s="38" t="e">
        <f>#REF!</f>
        <v>#REF!</v>
      </c>
      <c r="K36" s="38" t="e">
        <f>#REF!</f>
        <v>#REF!</v>
      </c>
      <c r="L36" s="39" t="e">
        <f>#REF!</f>
        <v>#REF!</v>
      </c>
      <c r="M36" s="40" t="e">
        <f>#REF!</f>
        <v>#REF!</v>
      </c>
      <c r="N36" s="41" t="e">
        <f>#REF!</f>
        <v>#REF!</v>
      </c>
      <c r="O36" s="42" t="e">
        <f>#REF!</f>
        <v>#REF!</v>
      </c>
      <c r="P36" s="43" t="e">
        <f>#REF!</f>
        <v>#REF!</v>
      </c>
      <c r="Q36" s="44" t="e">
        <f>#REF!</f>
        <v>#REF!</v>
      </c>
    </row>
    <row r="37" spans="2:17" ht="16" customHeight="1" x14ac:dyDescent="0.2">
      <c r="B37" s="1" t="s">
        <v>23</v>
      </c>
      <c r="C37" s="2" t="str">
        <f ca="1">INDEX('[1](2) Pengundi &amp; % Melayu'!$C$5:$C$40,MATCH($D37,'[1](2) Pengundi &amp; % Melayu'!$B$5:$B$40,0))</f>
        <v>Gemencheh</v>
      </c>
      <c r="D37" s="6">
        <f ca="1">INDEX('[1](2) Pengundi &amp; % Melayu'!$D$5:$D$40,MATCH($D37,'[1](2) Pengundi &amp; % Melayu'!$B$5:$B$40,0))</f>
        <v>24878</v>
      </c>
      <c r="E37" s="8">
        <f ca="1">INDEX('[1](1) Majoriti'!$I$4:$I$39,MATCH($D37,'[1](1) Majoriti'!$B$4:$B$39,0))</f>
        <v>-2434</v>
      </c>
      <c r="F37" s="35" t="e">
        <f>#REF!+#REF!+#REF!+#REF!+#REF!+#REF!</f>
        <v>#REF!</v>
      </c>
      <c r="G37" s="36" t="e">
        <f>#REF!+#REF!+#REF!+#REF!+#REF!+#REF!</f>
        <v>#REF!</v>
      </c>
      <c r="H37" s="37" t="e">
        <f>#REF!</f>
        <v>#REF!</v>
      </c>
      <c r="I37" s="38" t="e">
        <f>#REF!</f>
        <v>#REF!</v>
      </c>
      <c r="J37" s="38" t="e">
        <f>#REF!</f>
        <v>#REF!</v>
      </c>
      <c r="K37" s="38" t="e">
        <f>#REF!</f>
        <v>#REF!</v>
      </c>
      <c r="L37" s="39" t="e">
        <f>#REF!</f>
        <v>#REF!</v>
      </c>
      <c r="M37" s="40" t="e">
        <f>#REF!</f>
        <v>#REF!</v>
      </c>
      <c r="N37" s="41" t="e">
        <f>#REF!</f>
        <v>#REF!</v>
      </c>
      <c r="O37" s="42" t="e">
        <f>#REF!</f>
        <v>#REF!</v>
      </c>
      <c r="P37" s="43" t="e">
        <f>#REF!</f>
        <v>#REF!</v>
      </c>
      <c r="Q37" s="44" t="e">
        <f>#REF!</f>
        <v>#REF!</v>
      </c>
    </row>
    <row r="38" spans="2:17" ht="16" customHeight="1" thickBot="1" x14ac:dyDescent="0.25">
      <c r="B38" s="4" t="s">
        <v>29</v>
      </c>
      <c r="C38" s="5" t="str">
        <f ca="1">INDEX('[1](2) Pengundi &amp; % Melayu'!$C$5:$C$40,MATCH($D38,'[1](2) Pengundi &amp; % Melayu'!$B$5:$B$40,0))</f>
        <v>Repah</v>
      </c>
      <c r="D38" s="7">
        <f ca="1">INDEX('[1](2) Pengundi &amp; % Melayu'!$D$5:$D$40,MATCH($D38,'[1](2) Pengundi &amp; % Melayu'!$B$5:$B$40,0))</f>
        <v>27830</v>
      </c>
      <c r="E38" s="10">
        <f ca="1">INDEX('[1](1) Majoriti'!$I$4:$I$39,MATCH($D38,'[1](1) Majoriti'!$B$4:$B$39,0))</f>
        <v>-5950</v>
      </c>
      <c r="F38" s="45" t="e">
        <f>#REF!+#REF!+#REF!+#REF!+#REF!+#REF!</f>
        <v>#REF!</v>
      </c>
      <c r="G38" s="46" t="e">
        <f>#REF!+#REF!+#REF!+#REF!+#REF!+#REF!</f>
        <v>#REF!</v>
      </c>
      <c r="H38" s="47" t="e">
        <f>#REF!</f>
        <v>#REF!</v>
      </c>
      <c r="I38" s="48" t="e">
        <f>#REF!</f>
        <v>#REF!</v>
      </c>
      <c r="J38" s="48" t="e">
        <f>#REF!</f>
        <v>#REF!</v>
      </c>
      <c r="K38" s="48" t="e">
        <f>#REF!</f>
        <v>#REF!</v>
      </c>
      <c r="L38" s="49" t="e">
        <f>#REF!</f>
        <v>#REF!</v>
      </c>
      <c r="M38" s="50" t="e">
        <f>#REF!</f>
        <v>#REF!</v>
      </c>
      <c r="N38" s="51" t="e">
        <f>#REF!</f>
        <v>#REF!</v>
      </c>
      <c r="O38" s="52" t="e">
        <f>#REF!</f>
        <v>#REF!</v>
      </c>
      <c r="P38" s="53" t="e">
        <f>#REF!</f>
        <v>#REF!</v>
      </c>
      <c r="Q38" s="54" t="e">
        <f>#REF!</f>
        <v>#REF!</v>
      </c>
    </row>
  </sheetData>
  <sortState xmlns:xlrd2="http://schemas.microsoft.com/office/spreadsheetml/2017/richdata2" ref="B4:E38">
    <sortCondition ref="B3:B38"/>
  </sortState>
  <mergeCells count="7">
    <mergeCell ref="F1:G1"/>
    <mergeCell ref="H1:M1"/>
    <mergeCell ref="N1:Q1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Demogradi semua DUN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 ABD RAHMAN</dc:creator>
  <cp:lastModifiedBy>Raja Mohd Tariqi Raja Lope Ahmad</cp:lastModifiedBy>
  <cp:lastPrinted>2026-06-11T09:05:48Z</cp:lastPrinted>
  <dcterms:created xsi:type="dcterms:W3CDTF">2026-06-11T06:04:23Z</dcterms:created>
  <dcterms:modified xsi:type="dcterms:W3CDTF">2026-06-13T04:16:59Z</dcterms:modified>
</cp:coreProperties>
</file>