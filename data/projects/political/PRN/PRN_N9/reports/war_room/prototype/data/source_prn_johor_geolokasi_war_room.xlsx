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689ea21264c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33304ea01b0e4253"/>
    <x:sheet xmlns:r="http://schemas.openxmlformats.org/officeDocument/2006/relationships" name="Kerusi Johor" sheetId="2" r:id="R20966be575d6482e"/>
    <x:sheet xmlns:r="http://schemas.openxmlformats.org/officeDocument/2006/relationships" name="Rujukan &amp; Kaedah" sheetId="3" r:id="R3148c0afcb8e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7F2D00"/>
      <x:name val="Carlito"/>
    </x:font>
    <x:font>
      <x:b/>
      <x:sz val="11"/>
      <x:name val="Carlito"/>
    </x:font>
    <x:font>
      <x:b/>
      <x:sz val="11"/>
      <x:color rgb="FF274E13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  <x:fill>
      <x:patternFill patternType="solid">
        <x:fgColor rgb="FFD9EAD3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/>
    </x:xf>
    <x:xf numFmtId="0" fontId="2" fillId="3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ad4df80984879" /><Relationship Type="http://schemas.openxmlformats.org/officeDocument/2006/relationships/theme" Target="/xl/theme/theme1.xml" Id="R0b1b10dcd2024223" /><Relationship Type="http://schemas.openxmlformats.org/officeDocument/2006/relationships/sharedStrings" Target="/xl/sharedStrings.xml" Id="R84b1609788a94337" /><Relationship Type="http://schemas.openxmlformats.org/officeDocument/2006/relationships/worksheet" Target="/xl/worksheets/sheet1.xml" Id="R33304ea01b0e4253" /><Relationship Type="http://schemas.openxmlformats.org/officeDocument/2006/relationships/worksheet" Target="/xl/worksheets/sheet2.xml" Id="R20966be575d6482e" /><Relationship Type="http://schemas.openxmlformats.org/officeDocument/2006/relationships/worksheet" Target="/xl/worksheets/sheet3.xml" Id="R3148c0afcb8e4a3f" /></Relationships>
</file>

<file path=xl/tables/table1.xml><?xml version="1.0" encoding="utf-8"?>
<x:table xmlns:x="http://schemas.openxmlformats.org/spreadsheetml/2006/main" id="1" name="JohorDUNGeoTable" displayName="JohorDUNGeoTable" ref="A1:M57" headerRowCount="1">
  <x:tableColumns count="13">
    <x:tableColumn id="1" name="Negeri"/>
    <x:tableColumn id="2" name="Kod_DUN"/>
    <x:tableColumn id="3" name="Nama_Kerusi"/>
    <x:tableColumn id="4" name="Daerah_Proksi"/>
    <x:tableColumn id="5" name="Lokasi_Proksi"/>
    <x:tableColumn id="6" name="Latitud"/>
    <x:tableColumn id="7" name="Longitud"/>
    <x:tableColumn id="8" name="Tahap_Keyakinan"/>
    <x:tableColumn id="9" name="Jenis_Titik"/>
    <x:tableColumn id="10" name="Nota_QA"/>
    <x:tableColumn id="11" name="Pautan_Semak_Peta"/>
    <x:tableColumn id="12" name="Sumber_Senarai_Kerusi"/>
    <x:tableColumn id="13" name="Sumber_Sempadan_DU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46b73d66a84d5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44" t="str">
        <x:v>PRN JOHOR — DAFTAR GEOLOKASI 56 KERUSI DUN</x:v>
      </x:c>
      <x:c r="B1" s="44"/>
      <x:c r="C1" s="44"/>
      <x:c r="D1" s="44"/>
      <x:c r="E1" s="44"/>
      <x:c r="F1" s="44"/>
      <x:c r="G1" s="44"/>
      <x:c r="H1" s="44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45" t="str">
        <x:v>Petunjuk</x:v>
      </x:c>
      <x:c r="B3" s="46" t="str">
        <x:v>Nilai</x:v>
      </x:c>
      <x:c r="C3" s="34"/>
      <x:c r="D3" s="34"/>
      <x:c r="E3" s="34"/>
      <x:c r="F3" s="34"/>
      <x:c r="G3" s="34"/>
      <x:c r="H3" s="34"/>
    </x:row>
    <x:row r="4">
      <x:c r="A4" s="47" t="str">
        <x:v>Jumlah kerusi</x:v>
      </x:c>
      <x:c r="B4" s="48" t="n">
        <x:v>56</x:v>
      </x:c>
      <x:c r="C4" s="34"/>
      <x:c r="D4" s="34"/>
      <x:c r="E4" s="34"/>
      <x:c r="F4" s="34"/>
      <x:c r="G4" s="34"/>
      <x:c r="H4" s="34"/>
    </x:row>
    <x:row r="5">
      <x:c r="A5" s="47" t="str">
        <x:v>Keyakinan tinggi</x:v>
      </x:c>
      <x:c r="B5" s="48" t="n">
        <x:f>COUNTIF('Kerusi Johor'!H2:H57,"Tinggi")</x:f>
        <x:v>34</x:v>
      </x:c>
      <x:c r="C5" s="34"/>
      <x:c r="D5" s="34"/>
      <x:c r="E5" s="34"/>
      <x:c r="F5" s="34"/>
      <x:c r="G5" s="34"/>
      <x:c r="H5" s="34"/>
    </x:row>
    <x:row r="6">
      <x:c r="A6" s="47" t="str">
        <x:v>Keyakinan sederhana</x:v>
      </x:c>
      <x:c r="B6" s="48" t="n">
        <x:f>COUNTIF('Kerusi Johor'!H2:H57,"Sederhana")</x:f>
        <x:v>21</x:v>
      </x:c>
      <x:c r="C6" s="34"/>
      <x:c r="D6" s="34"/>
      <x:c r="E6" s="34"/>
      <x:c r="F6" s="34"/>
      <x:c r="G6" s="34"/>
      <x:c r="H6" s="34"/>
    </x:row>
    <x:row r="7">
      <x:c r="A7" s="49" t="str">
        <x:v>Keyakinan rendah</x:v>
      </x:c>
      <x:c r="B7" s="50" t="n">
        <x:f>COUNTIF('Kerusi Johor'!H2:H57,"Rendah")</x:f>
        <x:v>1</x:v>
      </x:c>
      <x:c r="C7" s="34"/>
      <x:c r="D7" s="34"/>
      <x:c r="E7" s="34"/>
      <x:c r="F7" s="34"/>
      <x:c r="G7" s="34"/>
      <x:c r="H7" s="34"/>
    </x:row>
    <x:row r="8">
      <x:c r="A8" s="34"/>
      <x:c r="B8" s="34"/>
      <x:c r="C8" s="34"/>
      <x:c r="D8" s="34"/>
      <x:c r="E8" s="34"/>
      <x:c r="F8" s="34"/>
      <x:c r="G8" s="34"/>
      <x:c r="H8" s="34"/>
    </x:row>
    <x:row r="9">
      <x:c r="A9" s="51" t="str">
        <x:v>Peringatan Operasi</x:v>
      </x:c>
      <x:c r="B9" s="51" t="str"/>
      <x:c r="C9" s="51" t="str"/>
      <x:c r="D9" s="51" t="str"/>
      <x:c r="E9" s="51" t="str"/>
      <x:c r="F9" s="51" t="str"/>
      <x:c r="G9" s="51" t="str"/>
      <x:c r="H9" s="51" t="str"/>
    </x:row>
    <x:row r="10">
      <x:c r="A10" s="37" t="str">
        <x:v>1</x:v>
      </x:c>
      <x:c r="B10" s="34" t="str">
        <x:v>Koordinat ialah titik proksi pusat lokaliti, bukannya koordinat rasmi pusat mengundi.</x:v>
      </x:c>
      <x:c r="C10" s="34" t="str"/>
      <x:c r="D10" s="34" t="str"/>
      <x:c r="E10" s="34" t="str"/>
      <x:c r="F10" s="34" t="str"/>
      <x:c r="G10" s="34" t="str"/>
      <x:c r="H10" s="34" t="str"/>
    </x:row>
    <x:row r="11">
      <x:c r="A11" s="37" t="str">
        <x:v>2</x:v>
      </x:c>
      <x:c r="B11" s="34" t="str">
        <x:v>Sebelum dispatch jentera, overlay dengan sempadan DUN rasmi GeoJohor dan sahkan lokasi sebenar bilik gerakan/pusat mengundi.</x:v>
      </x:c>
      <x:c r="C11" s="34" t="str"/>
      <x:c r="D11" s="34" t="str"/>
      <x:c r="E11" s="34" t="str"/>
      <x:c r="F11" s="34" t="str"/>
      <x:c r="G11" s="34" t="str"/>
      <x:c r="H11" s="34" t="str"/>
    </x:row>
    <x:row r="12">
      <x:c r="A12" s="37" t="str">
        <x:v>3</x:v>
      </x:c>
      <x:c r="B12" s="34" t="str">
        <x:v>Baris berstatus Rendah dan Sederhana perlu melalui QA GIS, semakan Google/OSM dan pengesahan lapangan.</x:v>
      </x:c>
      <x:c r="C12" s="34" t="str"/>
      <x:c r="D12" s="34" t="str"/>
      <x:c r="E12" s="34" t="str"/>
      <x:c r="F12" s="34" t="str"/>
      <x:c r="G12" s="34" t="str"/>
      <x:c r="H12" s="34" t="str"/>
    </x:row>
    <x:row r="13">
      <x:c r="A13" s="37" t="str">
        <x:v>4</x:v>
      </x:c>
      <x:c r="B13" s="34" t="str">
        <x:v>Format WGS84: Latitud, Longitud. Sesuai diimport ke QGIS, ArcGIS, Mapbox, Leaflet dan Google My Maps.</x:v>
      </x:c>
      <x:c r="C13" s="34" t="str"/>
      <x:c r="D13" s="34" t="str"/>
      <x:c r="E13" s="34" t="str"/>
      <x:c r="F13" s="34" t="str"/>
      <x:c r="G13" s="34" t="str"/>
      <x:c r="H13" s="34" t="str"/>
    </x:row>
    <x:row r="14">
      <x:c r="A14" s="34"/>
      <x:c r="B14" s="34"/>
      <x:c r="C14" s="34"/>
      <x:c r="D14" s="34"/>
      <x:c r="E14" s="34"/>
      <x:c r="F14" s="34"/>
      <x:c r="G14" s="34"/>
      <x:c r="H14" s="34"/>
    </x:row>
    <x:row r="15">
      <x:c r="A15" s="52" t="str">
        <x:v>Rujukan</x:v>
      </x:c>
      <x:c r="B15" s="52" t="str">
        <x:v>URL</x:v>
      </x:c>
      <x:c r="C15" s="34"/>
      <x:c r="D15" s="34"/>
      <x:c r="E15" s="34"/>
      <x:c r="F15" s="34"/>
      <x:c r="G15" s="34"/>
      <x:c r="H15" s="34"/>
    </x:row>
    <x:row r="16">
      <x:c r="A16" s="34" t="str">
        <x:v>Senarai kerusi SPR</x:v>
      </x:c>
      <x:c r="B16" s="34" t="str">
        <x:v>https://www.spr.gov.my/sites/default/files/senarai-bahagian-pilihanraya-persekutuan-dan-negeri.pdf</x:v>
      </x:c>
      <x:c r="C16" s="34"/>
      <x:c r="D16" s="34"/>
      <x:c r="E16" s="34"/>
      <x:c r="F16" s="34"/>
      <x:c r="G16" s="34"/>
      <x:c r="H16" s="34"/>
    </x:row>
    <x:row r="17">
      <x:c r="A17" s="34" t="str">
        <x:v>Sempadan DUN GeoJohor</x:v>
      </x:c>
      <x:c r="B17" s="34" t="str">
        <x:v>https://geoportal.johor.gov.my/petaawam/dun</x:v>
      </x:c>
      <x:c r="C17" s="34"/>
      <x:c r="D17" s="34"/>
      <x:c r="E17" s="34"/>
      <x:c r="F17" s="34"/>
      <x:c r="G17" s="34"/>
      <x:c r="H17" s="34"/>
    </x:row>
    <x:row r="18">
      <x:c r="A18" s="34" t="str">
        <x:v>Dashboard DOSM KAWASANKU</x:v>
      </x:c>
      <x:c r="B18" s="34" t="str">
        <x:v>https://open.dosm.gov.my/dashboard/kawasanku/Johor</x:v>
      </x:c>
      <x:c r="C18" s="34"/>
      <x:c r="D18" s="34"/>
      <x:c r="E18" s="34"/>
      <x:c r="F18" s="34"/>
      <x:c r="G18" s="34"/>
      <x:c r="H18" s="34"/>
    </x:row>
    <x:row r="19">
      <x:c r="A19" s="34"/>
      <x:c r="B19" s="34"/>
      <x:c r="C19" s="34"/>
      <x:c r="D19" s="34"/>
      <x:c r="E19" s="34"/>
      <x:c r="F19" s="34"/>
      <x:c r="G19" s="34"/>
      <x:c r="H19" s="34"/>
    </x:row>
    <x:row r="20">
      <x:c r="A20" s="34"/>
      <x:c r="B20" s="34"/>
      <x:c r="C20" s="34"/>
      <x:c r="D20" s="34"/>
      <x:c r="E20" s="34"/>
      <x:c r="F20" s="34"/>
      <x:c r="G20" s="34"/>
      <x:c r="H20" s="34"/>
    </x:row>
  </x:sheetData>
  <x:mergeCells>
    <x:mergeCell ref="A1:H1"/>
    <x:mergeCell ref="A9:H9"/>
    <x:mergeCell ref="B10:H10"/>
    <x:mergeCell ref="B11:H11"/>
    <x:mergeCell ref="B12:H12"/>
    <x:mergeCell ref="B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18" hidden="0" customWidth="1"/>
    <x:col min="5" max="5" width="30" hidden="0" customWidth="1"/>
    <x:col min="6" max="6" width="13" hidden="0" customWidth="1"/>
    <x:col min="7" max="7" width="13" hidden="0" customWidth="1"/>
    <x:col min="8" max="8" width="17" hidden="0" customWidth="1"/>
    <x:col min="9" max="9" width="38" hidden="0" customWidth="1"/>
    <x:col min="10" max="10" width="48" hidden="0" customWidth="1"/>
    <x:col min="11" max="11" width="44" hidden="0" customWidth="1"/>
    <x:col min="12" max="12" width="48" hidden="0" customWidth="1"/>
    <x:col min="13" max="13" width="48" hidden="0" customWidth="1"/>
  </x:cols>
  <x:sheetData>
    <x:row r="1" ht="28" customHeight="1">
      <x:c r="A1" s="70" t="str">
        <x:v>Negeri</x:v>
      </x:c>
      <x:c r="B1" s="70" t="str">
        <x:v>Kod_DUN</x:v>
      </x:c>
      <x:c r="C1" s="70" t="str">
        <x:v>Nama_Kerusi</x:v>
      </x:c>
      <x:c r="D1" s="70" t="str">
        <x:v>Daerah_Proksi</x:v>
      </x:c>
      <x:c r="E1" s="70" t="str">
        <x:v>Lokasi_Proksi</x:v>
      </x:c>
      <x:c r="F1" s="70" t="str">
        <x:v>Latitud</x:v>
      </x:c>
      <x:c r="G1" s="70" t="str">
        <x:v>Longitud</x:v>
      </x:c>
      <x:c r="H1" s="70" t="str">
        <x:v>Tahap_Keyakinan</x:v>
      </x:c>
      <x:c r="I1" s="70" t="str">
        <x:v>Jenis_Titik</x:v>
      </x:c>
      <x:c r="J1" s="70" t="str">
        <x:v>Nota_QA</x:v>
      </x:c>
      <x:c r="K1" s="70" t="str">
        <x:v>Pautan_Semak_Peta</x:v>
      </x:c>
      <x:c r="L1" s="70" t="str">
        <x:v>Sumber_Senarai_Kerusi</x:v>
      </x:c>
      <x:c r="M1" s="70" t="str">
        <x:v>Sumber_Sempadan_DUN</x:v>
      </x:c>
    </x:row>
    <x:row r="2">
      <x:c r="A2" s="74" t="str">
        <x:v>Johor</x:v>
      </x:c>
      <x:c r="B2" s="74" t="str">
        <x:v>N.01</x:v>
      </x:c>
      <x:c r="C2" s="74" t="str">
        <x:v>Buloh Kasap</x:v>
      </x:c>
      <x:c r="D2" s="74" t="str">
        <x:v>Segamat</x:v>
      </x:c>
      <x:c r="E2" s="74" t="str">
        <x:v>Pekan Buloh Kasap</x:v>
      </x:c>
      <x:c r="F2" s="75" t="n">
        <x:v>2.5536</x:v>
      </x:c>
      <x:c r="G2" s="75" t="n">
        <x:v>102.764</x:v>
      </x:c>
      <x:c r="H2" s="74" t="str">
        <x:v>Tinggi</x:v>
      </x:c>
      <x:c r="I2" s="74" t="str">
        <x:v>Titik proksi pusat lokaliti — bukan koordinat rasmi pusat mengundi</x:v>
      </x:c>
      <x:c r="J2" s="74" t="str">
        <x:v>Titik pusat lokaliti yang jelas; masih perlu semakan sempadan DUN sebelum routing lapangan.</x:v>
      </x:c>
      <x:c r="K2" s="74" t="str">
        <x:v>https://www.google.com/maps/search/?api=1&amp;query=Pekan+Buloh+Kasap%2C+Johor%2C+Malaysia</x:v>
      </x:c>
      <x:c r="L2" s="74" t="str">
        <x:v>https://www.spr.gov.my/sites/default/files/senarai-bahagian-pilihanraya-persekutuan-dan-negeri.pdf</x:v>
      </x:c>
      <x:c r="M2" s="74" t="str">
        <x:v>https://geoportal.johor.gov.my/petaawam/dun</x:v>
      </x:c>
    </x:row>
    <x:row r="3">
      <x:c r="A3" s="74" t="str">
        <x:v>Johor</x:v>
      </x:c>
      <x:c r="B3" s="74" t="str">
        <x:v>N.02</x:v>
      </x:c>
      <x:c r="C3" s="74" t="str">
        <x:v>Jementah</x:v>
      </x:c>
      <x:c r="D3" s="74" t="str">
        <x:v>Segamat</x:v>
      </x:c>
      <x:c r="E3" s="74" t="str">
        <x:v>Pekan Jementah</x:v>
      </x:c>
      <x:c r="F3" s="75" t="n">
        <x:v>2.440059</x:v>
      </x:c>
      <x:c r="G3" s="75" t="n">
        <x:v>102.685155</x:v>
      </x:c>
      <x:c r="H3" s="74" t="str">
        <x:v>Tinggi</x:v>
      </x:c>
      <x:c r="I3" s="74" t="str">
        <x:v>Titik proksi pusat lokaliti — bukan koordinat rasmi pusat mengundi</x:v>
      </x:c>
      <x:c r="J3" s="74" t="str">
        <x:v>Titik pusat lokaliti yang jelas; masih perlu semakan sempadan DUN sebelum routing lapangan.</x:v>
      </x:c>
      <x:c r="K3" s="74" t="str">
        <x:v>https://www.google.com/maps/search/?api=1&amp;query=Pekan+Jementah%2C+Johor%2C+Malaysia</x:v>
      </x:c>
      <x:c r="L3" s="74" t="str">
        <x:v>https://www.spr.gov.my/sites/default/files/senarai-bahagian-pilihanraya-persekutuan-dan-negeri.pdf</x:v>
      </x:c>
      <x:c r="M3" s="74" t="str">
        <x:v>https://geoportal.johor.gov.my/petaawam/dun</x:v>
      </x:c>
    </x:row>
    <x:row r="4">
      <x:c r="A4" s="74" t="str">
        <x:v>Johor</x:v>
      </x:c>
      <x:c r="B4" s="74" t="str">
        <x:v>N.03</x:v>
      </x:c>
      <x:c r="C4" s="74" t="str">
        <x:v>Pemanis</x:v>
      </x:c>
      <x:c r="D4" s="74" t="str">
        <x:v>Segamat</x:v>
      </x:c>
      <x:c r="E4" s="74" t="str">
        <x:v>FELDA Pemanis</x:v>
      </x:c>
      <x:c r="F4" s="75" t="n">
        <x:v>2.622239</x:v>
      </x:c>
      <x:c r="G4" s="75" t="n">
        <x:v>102.87328</x:v>
      </x:c>
      <x:c r="H4" s="74" t="str">
        <x:v>Tinggi</x:v>
      </x:c>
      <x:c r="I4" s="74" t="str">
        <x:v>Titik proksi pusat lokaliti — bukan koordinat rasmi pusat mengundi</x:v>
      </x:c>
      <x:c r="J4" s="74" t="str">
        <x:v>Titik pusat lokaliti yang jelas; masih perlu semakan sempadan DUN sebelum routing lapangan.</x:v>
      </x:c>
      <x:c r="K4" s="74" t="str">
        <x:v>https://www.google.com/maps/search/?api=1&amp;query=FELDA+Pemanis%2C+Johor%2C+Malaysia</x:v>
      </x:c>
      <x:c r="L4" s="74" t="str">
        <x:v>https://www.spr.gov.my/sites/default/files/senarai-bahagian-pilihanraya-persekutuan-dan-negeri.pdf</x:v>
      </x:c>
      <x:c r="M4" s="74" t="str">
        <x:v>https://geoportal.johor.gov.my/petaawam/dun</x:v>
      </x:c>
    </x:row>
    <x:row r="5">
      <x:c r="A5" s="74" t="str">
        <x:v>Johor</x:v>
      </x:c>
      <x:c r="B5" s="74" t="str">
        <x:v>N.04</x:v>
      </x:c>
      <x:c r="C5" s="74" t="str">
        <x:v>Kemelah</x:v>
      </x:c>
      <x:c r="D5" s="74" t="str">
        <x:v>Segamat</x:v>
      </x:c>
      <x:c r="E5" s="74" t="str">
        <x:v>FELDA Kemelah</x:v>
      </x:c>
      <x:c r="F5" s="75" t="n">
        <x:v>2.522995</x:v>
      </x:c>
      <x:c r="G5" s="75" t="n">
        <x:v>102.954186</x:v>
      </x:c>
      <x:c r="H5" s="74" t="str">
        <x:v>Tinggi</x:v>
      </x:c>
      <x:c r="I5" s="74" t="str">
        <x:v>Titik proksi pusat lokaliti — bukan koordinat rasmi pusat mengundi</x:v>
      </x:c>
      <x:c r="J5" s="74" t="str">
        <x:v>Titik pusat lokaliti yang jelas; masih perlu semakan sempadan DUN sebelum routing lapangan.</x:v>
      </x:c>
      <x:c r="K5" s="74" t="str">
        <x:v>https://www.google.com/maps/search/?api=1&amp;query=FELDA+Kemelah%2C+Johor%2C+Malaysia</x:v>
      </x:c>
      <x:c r="L5" s="74" t="str">
        <x:v>https://www.spr.gov.my/sites/default/files/senarai-bahagian-pilihanraya-persekutuan-dan-negeri.pdf</x:v>
      </x:c>
      <x:c r="M5" s="74" t="str">
        <x:v>https://geoportal.johor.gov.my/petaawam/dun</x:v>
      </x:c>
    </x:row>
    <x:row r="6">
      <x:c r="A6" s="74" t="str">
        <x:v>Johor</x:v>
      </x:c>
      <x:c r="B6" s="74" t="str">
        <x:v>N.05</x:v>
      </x:c>
      <x:c r="C6" s="74" t="str">
        <x:v>Tenang</x:v>
      </x:c>
      <x:c r="D6" s="74" t="str">
        <x:v>Segamat</x:v>
      </x:c>
      <x:c r="E6" s="74" t="str">
        <x:v>Kampung Tenang</x:v>
      </x:c>
      <x:c r="F6" s="75" t="n">
        <x:v>2.475212</x:v>
      </x:c>
      <x:c r="G6" s="75" t="n">
        <x:v>103.066622</x:v>
      </x:c>
      <x:c r="H6" s="74" t="str">
        <x:v>Tinggi</x:v>
      </x:c>
      <x:c r="I6" s="74" t="str">
        <x:v>Titik proksi pusat lokaliti — bukan koordinat rasmi pusat mengundi</x:v>
      </x:c>
      <x:c r="J6" s="74" t="str">
        <x:v>Titik pusat lokaliti yang jelas; masih perlu semakan sempadan DUN sebelum routing lapangan.</x:v>
      </x:c>
      <x:c r="K6" s="74" t="str">
        <x:v>https://www.google.com/maps/search/?api=1&amp;query=Kampung+Tenang%2C+Johor%2C+Malaysia</x:v>
      </x:c>
      <x:c r="L6" s="74" t="str">
        <x:v>https://www.spr.gov.my/sites/default/files/senarai-bahagian-pilihanraya-persekutuan-dan-negeri.pdf</x:v>
      </x:c>
      <x:c r="M6" s="74" t="str">
        <x:v>https://geoportal.johor.gov.my/petaawam/dun</x:v>
      </x:c>
    </x:row>
    <x:row r="7">
      <x:c r="A7" s="74" t="str">
        <x:v>Johor</x:v>
      </x:c>
      <x:c r="B7" s="74" t="str">
        <x:v>N.06</x:v>
      </x:c>
      <x:c r="C7" s="74" t="str">
        <x:v>Bekok</x:v>
      </x:c>
      <x:c r="D7" s="74" t="str">
        <x:v>Segamat</x:v>
      </x:c>
      <x:c r="E7" s="74" t="str">
        <x:v>Pekan Bekok</x:v>
      </x:c>
      <x:c r="F7" s="75" t="n">
        <x:v>2.296528</x:v>
      </x:c>
      <x:c r="G7" s="75" t="n">
        <x:v>103.130592</x:v>
      </x:c>
      <x:c r="H7" s="74" t="str">
        <x:v>Tinggi</x:v>
      </x:c>
      <x:c r="I7" s="74" t="str">
        <x:v>Titik proksi pusat lokaliti — bukan koordinat rasmi pusat mengundi</x:v>
      </x:c>
      <x:c r="J7" s="74" t="str">
        <x:v>Titik pusat lokaliti yang jelas; masih perlu semakan sempadan DUN sebelum routing lapangan.</x:v>
      </x:c>
      <x:c r="K7" s="74" t="str">
        <x:v>https://www.google.com/maps/search/?api=1&amp;query=Pekan+Bekok%2C+Johor%2C+Malaysia</x:v>
      </x:c>
      <x:c r="L7" s="74" t="str">
        <x:v>https://www.spr.gov.my/sites/default/files/senarai-bahagian-pilihanraya-persekutuan-dan-negeri.pdf</x:v>
      </x:c>
      <x:c r="M7" s="74" t="str">
        <x:v>https://geoportal.johor.gov.my/petaawam/dun</x:v>
      </x:c>
    </x:row>
    <x:row r="8">
      <x:c r="A8" s="74" t="str">
        <x:v>Johor</x:v>
      </x:c>
      <x:c r="B8" s="74" t="str">
        <x:v>N.07</x:v>
      </x:c>
      <x:c r="C8" s="74" t="str">
        <x:v>Bukit Kepong</x:v>
      </x:c>
      <x:c r="D8" s="74" t="str">
        <x:v>Muar</x:v>
      </x:c>
      <x:c r="E8" s="74" t="str">
        <x:v>Pekan Bukit Kepong</x:v>
      </x:c>
      <x:c r="F8" s="75" t="n">
        <x:v>2.3453</x:v>
      </x:c>
      <x:c r="G8" s="75" t="n">
        <x:v>102.8305</x:v>
      </x:c>
      <x:c r="H8" s="74" t="str">
        <x:v>Tinggi</x:v>
      </x:c>
      <x:c r="I8" s="74" t="str">
        <x:v>Titik proksi pusat lokaliti — bukan koordinat rasmi pusat mengundi</x:v>
      </x:c>
      <x:c r="J8" s="74" t="str">
        <x:v>Titik pusat lokaliti yang jelas; masih perlu semakan sempadan DUN sebelum routing lapangan.</x:v>
      </x:c>
      <x:c r="K8" s="74" t="str">
        <x:v>https://www.google.com/maps/search/?api=1&amp;query=Pekan+Bukit+Kepong%2C+Johor%2C+Malaysia</x:v>
      </x:c>
      <x:c r="L8" s="74" t="str">
        <x:v>https://www.spr.gov.my/sites/default/files/senarai-bahagian-pilihanraya-persekutuan-dan-negeri.pdf</x:v>
      </x:c>
      <x:c r="M8" s="74" t="str">
        <x:v>https://geoportal.johor.gov.my/petaawam/dun</x:v>
      </x:c>
    </x:row>
    <x:row r="9">
      <x:c r="A9" s="74" t="str">
        <x:v>Johor</x:v>
      </x:c>
      <x:c r="B9" s="74" t="str">
        <x:v>N.08</x:v>
      </x:c>
      <x:c r="C9" s="74" t="str">
        <x:v>Bukit Pasir</x:v>
      </x:c>
      <x:c r="D9" s="74" t="str">
        <x:v>Muar</x:v>
      </x:c>
      <x:c r="E9" s="74" t="str">
        <x:v>Pekan Bukit Pasir</x:v>
      </x:c>
      <x:c r="F9" s="75" t="n">
        <x:v>2.098447</x:v>
      </x:c>
      <x:c r="G9" s="75" t="n">
        <x:v>102.637618</x:v>
      </x:c>
      <x:c r="H9" s="74" t="str">
        <x:v>Tinggi</x:v>
      </x:c>
      <x:c r="I9" s="74" t="str">
        <x:v>Titik proksi pusat lokaliti — bukan koordinat rasmi pusat mengundi</x:v>
      </x:c>
      <x:c r="J9" s="74" t="str">
        <x:v>Titik pusat lokaliti yang jelas; masih perlu semakan sempadan DUN sebelum routing lapangan.</x:v>
      </x:c>
      <x:c r="K9" s="74" t="str">
        <x:v>https://www.google.com/maps/search/?api=1&amp;query=Pekan+Bukit+Pasir%2C+Johor%2C+Malaysia</x:v>
      </x:c>
      <x:c r="L9" s="74" t="str">
        <x:v>https://www.spr.gov.my/sites/default/files/senarai-bahagian-pilihanraya-persekutuan-dan-negeri.pdf</x:v>
      </x:c>
      <x:c r="M9" s="74" t="str">
        <x:v>https://geoportal.johor.gov.my/petaawam/dun</x:v>
      </x:c>
    </x:row>
    <x:row r="10">
      <x:c r="A10" s="74" t="str">
        <x:v>Johor</x:v>
      </x:c>
      <x:c r="B10" s="74" t="str">
        <x:v>N.09</x:v>
      </x:c>
      <x:c r="C10" s="74" t="str">
        <x:v>Gambir</x:v>
      </x:c>
      <x:c r="D10" s="74" t="str">
        <x:v>Tangkak</x:v>
      </x:c>
      <x:c r="E10" s="74" t="str">
        <x:v>Pekan Bukit Gambir</x:v>
      </x:c>
      <x:c r="F10" s="75" t="n">
        <x:v>2.2055</x:v>
      </x:c>
      <x:c r="G10" s="75" t="n">
        <x:v>102.7245</x:v>
      </x:c>
      <x:c r="H10" s="74" t="str">
        <x:v>Sederhana</x:v>
      </x:c>
      <x:c r="I10" s="74" t="str">
        <x:v>Titik proksi pusat lokaliti — bukan koordinat rasmi pusat mengundi</x:v>
      </x:c>
      <x:c r="J10" s="74" t="str">
        <x:v>Titik proksi operasi; semak dalam GeoJohor/Google Maps dan laraskan kepada pusat operasi sebenar.</x:v>
      </x:c>
      <x:c r="K10" s="74" t="str">
        <x:v>https://www.google.com/maps/search/?api=1&amp;query=Pekan+Bukit+Gambir%2C+Johor%2C+Malaysia</x:v>
      </x:c>
      <x:c r="L10" s="74" t="str">
        <x:v>https://www.spr.gov.my/sites/default/files/senarai-bahagian-pilihanraya-persekutuan-dan-negeri.pdf</x:v>
      </x:c>
      <x:c r="M10" s="74" t="str">
        <x:v>https://geoportal.johor.gov.my/petaawam/dun</x:v>
      </x:c>
    </x:row>
    <x:row r="11">
      <x:c r="A11" s="74" t="str">
        <x:v>Johor</x:v>
      </x:c>
      <x:c r="B11" s="74" t="str">
        <x:v>N.10</x:v>
      </x:c>
      <x:c r="C11" s="74" t="str">
        <x:v>Tangkak</x:v>
      </x:c>
      <x:c r="D11" s="74" t="str">
        <x:v>Tangkak</x:v>
      </x:c>
      <x:c r="E11" s="74" t="str">
        <x:v>Bandar Tangkak</x:v>
      </x:c>
      <x:c r="F11" s="75" t="n">
        <x:v>2.267</x:v>
      </x:c>
      <x:c r="G11" s="75" t="n">
        <x:v>102.545</x:v>
      </x:c>
      <x:c r="H11" s="74" t="str">
        <x:v>Tinggi</x:v>
      </x:c>
      <x:c r="I11" s="74" t="str">
        <x:v>Titik proksi pusat lokaliti — bukan koordinat rasmi pusat mengundi</x:v>
      </x:c>
      <x:c r="J11" s="74" t="str">
        <x:v>Titik pusat lokaliti yang jelas; masih perlu semakan sempadan DUN sebelum routing lapangan.</x:v>
      </x:c>
      <x:c r="K11" s="74" t="str">
        <x:v>https://www.google.com/maps/search/?api=1&amp;query=Bandar+Tangkak%2C+Johor%2C+Malaysia</x:v>
      </x:c>
      <x:c r="L11" s="74" t="str">
        <x:v>https://www.spr.gov.my/sites/default/files/senarai-bahagian-pilihanraya-persekutuan-dan-negeri.pdf</x:v>
      </x:c>
      <x:c r="M11" s="74" t="str">
        <x:v>https://geoportal.johor.gov.my/petaawam/dun</x:v>
      </x:c>
    </x:row>
    <x:row r="12">
      <x:c r="A12" s="74" t="str">
        <x:v>Johor</x:v>
      </x:c>
      <x:c r="B12" s="74" t="str">
        <x:v>N.11</x:v>
      </x:c>
      <x:c r="C12" s="74" t="str">
        <x:v>Serom</x:v>
      </x:c>
      <x:c r="D12" s="74" t="str">
        <x:v>Tangkak</x:v>
      </x:c>
      <x:c r="E12" s="74" t="str">
        <x:v>Pekan Serom</x:v>
      </x:c>
      <x:c r="F12" s="75" t="n">
        <x:v>2.151</x:v>
      </x:c>
      <x:c r="G12" s="75" t="n">
        <x:v>102.59</x:v>
      </x:c>
      <x:c r="H12" s="74" t="str">
        <x:v>Sederhana</x:v>
      </x:c>
      <x:c r="I12" s="74" t="str">
        <x:v>Titik proksi pusat lokaliti — bukan koordinat rasmi pusat mengundi</x:v>
      </x:c>
      <x:c r="J12" s="74" t="str">
        <x:v>Titik proksi operasi; semak dalam GeoJohor/Google Maps dan laraskan kepada pusat operasi sebenar.</x:v>
      </x:c>
      <x:c r="K12" s="74" t="str">
        <x:v>https://www.google.com/maps/search/?api=1&amp;query=Pekan+Serom%2C+Johor%2C+Malaysia</x:v>
      </x:c>
      <x:c r="L12" s="74" t="str">
        <x:v>https://www.spr.gov.my/sites/default/files/senarai-bahagian-pilihanraya-persekutuan-dan-negeri.pdf</x:v>
      </x:c>
      <x:c r="M12" s="74" t="str">
        <x:v>https://geoportal.johor.gov.my/petaawam/dun</x:v>
      </x:c>
    </x:row>
    <x:row r="13">
      <x:c r="A13" s="74" t="str">
        <x:v>Johor</x:v>
      </x:c>
      <x:c r="B13" s="74" t="str">
        <x:v>N.12</x:v>
      </x:c>
      <x:c r="C13" s="74" t="str">
        <x:v>Bentayan</x:v>
      </x:c>
      <x:c r="D13" s="74" t="str">
        <x:v>Muar</x:v>
      </x:c>
      <x:c r="E13" s="74" t="str">
        <x:v>Pusat Bandar Muar / Bentayan</x:v>
      </x:c>
      <x:c r="F13" s="75" t="n">
        <x:v>2.0465</x:v>
      </x:c>
      <x:c r="G13" s="75" t="n">
        <x:v>102.5685</x:v>
      </x:c>
      <x:c r="H13" s="74" t="str">
        <x:v>Sederhana</x:v>
      </x:c>
      <x:c r="I13" s="74" t="str">
        <x:v>Titik proksi pusat lokaliti — bukan koordinat rasmi pusat mengundi</x:v>
      </x:c>
      <x:c r="J13" s="74" t="str">
        <x:v>Titik proksi operasi; semak dalam GeoJohor/Google Maps dan laraskan kepada pusat operasi sebenar.</x:v>
      </x:c>
      <x:c r="K13" s="74" t="str">
        <x:v>https://www.google.com/maps/search/?api=1&amp;query=Pusat+Bandar+Muar+%2F+Bentayan%2C+Johor%2C+Malaysia</x:v>
      </x:c>
      <x:c r="L13" s="74" t="str">
        <x:v>https://www.spr.gov.my/sites/default/files/senarai-bahagian-pilihanraya-persekutuan-dan-negeri.pdf</x:v>
      </x:c>
      <x:c r="M13" s="74" t="str">
        <x:v>https://geoportal.johor.gov.my/petaawam/dun</x:v>
      </x:c>
    </x:row>
    <x:row r="14">
      <x:c r="A14" s="74" t="str">
        <x:v>Johor</x:v>
      </x:c>
      <x:c r="B14" s="74" t="str">
        <x:v>N.13</x:v>
      </x:c>
      <x:c r="C14" s="74" t="str">
        <x:v>Simpang Jeram</x:v>
      </x:c>
      <x:c r="D14" s="74" t="str">
        <x:v>Muar</x:v>
      </x:c>
      <x:c r="E14" s="74" t="str">
        <x:v>Simpang Jeram</x:v>
      </x:c>
      <x:c r="F14" s="75" t="n">
        <x:v>2.113</x:v>
      </x:c>
      <x:c r="G14" s="75" t="n">
        <x:v>102.612</x:v>
      </x:c>
      <x:c r="H14" s="74" t="str">
        <x:v>Sederhana</x:v>
      </x:c>
      <x:c r="I14" s="74" t="str">
        <x:v>Titik proksi pusat lokaliti — bukan koordinat rasmi pusat mengundi</x:v>
      </x:c>
      <x:c r="J14" s="74" t="str">
        <x:v>Titik proksi operasi; semak dalam GeoJohor/Google Maps dan laraskan kepada pusat operasi sebenar.</x:v>
      </x:c>
      <x:c r="K14" s="74" t="str">
        <x:v>https://www.google.com/maps/search/?api=1&amp;query=Simpang+Jeram%2C+Johor%2C+Malaysia</x:v>
      </x:c>
      <x:c r="L14" s="74" t="str">
        <x:v>https://www.spr.gov.my/sites/default/files/senarai-bahagian-pilihanraya-persekutuan-dan-negeri.pdf</x:v>
      </x:c>
      <x:c r="M14" s="74" t="str">
        <x:v>https://geoportal.johor.gov.my/petaawam/dun</x:v>
      </x:c>
    </x:row>
    <x:row r="15">
      <x:c r="A15" s="74" t="str">
        <x:v>Johor</x:v>
      </x:c>
      <x:c r="B15" s="74" t="str">
        <x:v>N.14</x:v>
      </x:c>
      <x:c r="C15" s="74" t="str">
        <x:v>Bukit Naning</x:v>
      </x:c>
      <x:c r="D15" s="74" t="str">
        <x:v>Muar</x:v>
      </x:c>
      <x:c r="E15" s="74" t="str">
        <x:v>Bukit Naning</x:v>
      </x:c>
      <x:c r="F15" s="75" t="n">
        <x:v>2.204</x:v>
      </x:c>
      <x:c r="G15" s="75" t="n">
        <x:v>102.659</x:v>
      </x:c>
      <x:c r="H15" s="74" t="str">
        <x:v>Sederhana</x:v>
      </x:c>
      <x:c r="I15" s="74" t="str">
        <x:v>Titik proksi pusat lokaliti — bukan koordinat rasmi pusat mengundi</x:v>
      </x:c>
      <x:c r="J15" s="74" t="str">
        <x:v>Titik proksi operasi; semak dalam GeoJohor/Google Maps dan laraskan kepada pusat operasi sebenar.</x:v>
      </x:c>
      <x:c r="K15" s="74" t="str">
        <x:v>https://www.google.com/maps/search/?api=1&amp;query=Bukit+Naning%2C+Johor%2C+Malaysia</x:v>
      </x:c>
      <x:c r="L15" s="74" t="str">
        <x:v>https://www.spr.gov.my/sites/default/files/senarai-bahagian-pilihanraya-persekutuan-dan-negeri.pdf</x:v>
      </x:c>
      <x:c r="M15" s="74" t="str">
        <x:v>https://geoportal.johor.gov.my/petaawam/dun</x:v>
      </x:c>
    </x:row>
    <x:row r="16">
      <x:c r="A16" s="74" t="str">
        <x:v>Johor</x:v>
      </x:c>
      <x:c r="B16" s="74" t="str">
        <x:v>N.15</x:v>
      </x:c>
      <x:c r="C16" s="74" t="str">
        <x:v>Maharani</x:v>
      </x:c>
      <x:c r="D16" s="74" t="str">
        <x:v>Muar</x:v>
      </x:c>
      <x:c r="E16" s="74" t="str">
        <x:v>Bandar Maharani, Muar</x:v>
      </x:c>
      <x:c r="F16" s="75" t="n">
        <x:v>2.044</x:v>
      </x:c>
      <x:c r="G16" s="75" t="n">
        <x:v>102.568</x:v>
      </x:c>
      <x:c r="H16" s="74" t="str">
        <x:v>Sederhana</x:v>
      </x:c>
      <x:c r="I16" s="74" t="str">
        <x:v>Titik proksi pusat lokaliti — bukan koordinat rasmi pusat mengundi</x:v>
      </x:c>
      <x:c r="J16" s="74" t="str">
        <x:v>Titik proksi operasi; semak dalam GeoJohor/Google Maps dan laraskan kepada pusat operasi sebenar.</x:v>
      </x:c>
      <x:c r="K16" s="74" t="str">
        <x:v>https://www.google.com/maps/search/?api=1&amp;query=Bandar+Maharani%2C+Muar%2C+Johor%2C+Malaysia</x:v>
      </x:c>
      <x:c r="L16" s="74" t="str">
        <x:v>https://www.spr.gov.my/sites/default/files/senarai-bahagian-pilihanraya-persekutuan-dan-negeri.pdf</x:v>
      </x:c>
      <x:c r="M16" s="74" t="str">
        <x:v>https://geoportal.johor.gov.my/petaawam/dun</x:v>
      </x:c>
    </x:row>
    <x:row r="17">
      <x:c r="A17" s="74" t="str">
        <x:v>Johor</x:v>
      </x:c>
      <x:c r="B17" s="74" t="str">
        <x:v>N.16</x:v>
      </x:c>
      <x:c r="C17" s="74" t="str">
        <x:v>Sungai Balang</x:v>
      </x:c>
      <x:c r="D17" s="74" t="str">
        <x:v>Muar</x:v>
      </x:c>
      <x:c r="E17" s="74" t="str">
        <x:v>Pekan Sungai Balang</x:v>
      </x:c>
      <x:c r="F17" s="75" t="n">
        <x:v>1.988</x:v>
      </x:c>
      <x:c r="G17" s="75" t="n">
        <x:v>102.668</x:v>
      </x:c>
      <x:c r="H17" s="74" t="str">
        <x:v>Sederhana</x:v>
      </x:c>
      <x:c r="I17" s="74" t="str">
        <x:v>Titik proksi pusat lokaliti — bukan koordinat rasmi pusat mengundi</x:v>
      </x:c>
      <x:c r="J17" s="74" t="str">
        <x:v>Titik proksi operasi; semak dalam GeoJohor/Google Maps dan laraskan kepada pusat operasi sebenar.</x:v>
      </x:c>
      <x:c r="K17" s="74" t="str">
        <x:v>https://www.google.com/maps/search/?api=1&amp;query=Pekan+Sungai+Balang%2C+Johor%2C+Malaysia</x:v>
      </x:c>
      <x:c r="L17" s="74" t="str">
        <x:v>https://www.spr.gov.my/sites/default/files/senarai-bahagian-pilihanraya-persekutuan-dan-negeri.pdf</x:v>
      </x:c>
      <x:c r="M17" s="74" t="str">
        <x:v>https://geoportal.johor.gov.my/petaawam/dun</x:v>
      </x:c>
    </x:row>
    <x:row r="18">
      <x:c r="A18" s="74" t="str">
        <x:v>Johor</x:v>
      </x:c>
      <x:c r="B18" s="74" t="str">
        <x:v>N.17</x:v>
      </x:c>
      <x:c r="C18" s="74" t="str">
        <x:v>Semerah</x:v>
      </x:c>
      <x:c r="D18" s="74" t="str">
        <x:v>Batu Pahat</x:v>
      </x:c>
      <x:c r="E18" s="74" t="str">
        <x:v>Pekan Semerah</x:v>
      </x:c>
      <x:c r="F18" s="75" t="n">
        <x:v>1.917</x:v>
      </x:c>
      <x:c r="G18" s="75" t="n">
        <x:v>102.95</x:v>
      </x:c>
      <x:c r="H18" s="74" t="str">
        <x:v>Sederhana</x:v>
      </x:c>
      <x:c r="I18" s="74" t="str">
        <x:v>Titik proksi pusat lokaliti — bukan koordinat rasmi pusat mengundi</x:v>
      </x:c>
      <x:c r="J18" s="74" t="str">
        <x:v>Titik proksi operasi; semak dalam GeoJohor/Google Maps dan laraskan kepada pusat operasi sebenar.</x:v>
      </x:c>
      <x:c r="K18" s="74" t="str">
        <x:v>https://www.google.com/maps/search/?api=1&amp;query=Pekan+Semerah%2C+Johor%2C+Malaysia</x:v>
      </x:c>
      <x:c r="L18" s="74" t="str">
        <x:v>https://www.spr.gov.my/sites/default/files/senarai-bahagian-pilihanraya-persekutuan-dan-negeri.pdf</x:v>
      </x:c>
      <x:c r="M18" s="74" t="str">
        <x:v>https://geoportal.johor.gov.my/petaawam/dun</x:v>
      </x:c>
    </x:row>
    <x:row r="19">
      <x:c r="A19" s="74" t="str">
        <x:v>Johor</x:v>
      </x:c>
      <x:c r="B19" s="74" t="str">
        <x:v>N.18</x:v>
      </x:c>
      <x:c r="C19" s="74" t="str">
        <x:v>Sri Medan</x:v>
      </x:c>
      <x:c r="D19" s="74" t="str">
        <x:v>Batu Pahat</x:v>
      </x:c>
      <x:c r="E19" s="74" t="str">
        <x:v>Pekan Sri Medan</x:v>
      </x:c>
      <x:c r="F19" s="75" t="n">
        <x:v>1.973</x:v>
      </x:c>
      <x:c r="G19" s="75" t="n">
        <x:v>103.025</x:v>
      </x:c>
      <x:c r="H19" s="74" t="str">
        <x:v>Sederhana</x:v>
      </x:c>
      <x:c r="I19" s="74" t="str">
        <x:v>Titik proksi pusat lokaliti — bukan koordinat rasmi pusat mengundi</x:v>
      </x:c>
      <x:c r="J19" s="74" t="str">
        <x:v>Titik proksi operasi; semak dalam GeoJohor/Google Maps dan laraskan kepada pusat operasi sebenar.</x:v>
      </x:c>
      <x:c r="K19" s="74" t="str">
        <x:v>https://www.google.com/maps/search/?api=1&amp;query=Pekan+Sri+Medan%2C+Johor%2C+Malaysia</x:v>
      </x:c>
      <x:c r="L19" s="74" t="str">
        <x:v>https://www.spr.gov.my/sites/default/files/senarai-bahagian-pilihanraya-persekutuan-dan-negeri.pdf</x:v>
      </x:c>
      <x:c r="M19" s="74" t="str">
        <x:v>https://geoportal.johor.gov.my/petaawam/dun</x:v>
      </x:c>
    </x:row>
    <x:row r="20">
      <x:c r="A20" s="74" t="str">
        <x:v>Johor</x:v>
      </x:c>
      <x:c r="B20" s="74" t="str">
        <x:v>N.19</x:v>
      </x:c>
      <x:c r="C20" s="74" t="str">
        <x:v>Yong Peng</x:v>
      </x:c>
      <x:c r="D20" s="74" t="str">
        <x:v>Batu Pahat</x:v>
      </x:c>
      <x:c r="E20" s="74" t="str">
        <x:v>Bandar Yong Peng</x:v>
      </x:c>
      <x:c r="F20" s="75" t="n">
        <x:v>2.012</x:v>
      </x:c>
      <x:c r="G20" s="75" t="n">
        <x:v>103.065</x:v>
      </x:c>
      <x:c r="H20" s="74" t="str">
        <x:v>Tinggi</x:v>
      </x:c>
      <x:c r="I20" s="74" t="str">
        <x:v>Titik proksi pusat lokaliti — bukan koordinat rasmi pusat mengundi</x:v>
      </x:c>
      <x:c r="J20" s="74" t="str">
        <x:v>Titik pusat lokaliti yang jelas; masih perlu semakan sempadan DUN sebelum routing lapangan.</x:v>
      </x:c>
      <x:c r="K20" s="74" t="str">
        <x:v>https://www.google.com/maps/search/?api=1&amp;query=Bandar+Yong+Peng%2C+Johor%2C+Malaysia</x:v>
      </x:c>
      <x:c r="L20" s="74" t="str">
        <x:v>https://www.spr.gov.my/sites/default/files/senarai-bahagian-pilihanraya-persekutuan-dan-negeri.pdf</x:v>
      </x:c>
      <x:c r="M20" s="74" t="str">
        <x:v>https://geoportal.johor.gov.my/petaawam/dun</x:v>
      </x:c>
    </x:row>
    <x:row r="21">
      <x:c r="A21" s="74" t="str">
        <x:v>Johor</x:v>
      </x:c>
      <x:c r="B21" s="74" t="str">
        <x:v>N.20</x:v>
      </x:c>
      <x:c r="C21" s="74" t="str">
        <x:v>Semarang</x:v>
      </x:c>
      <x:c r="D21" s="74" t="str">
        <x:v>Batu Pahat</x:v>
      </x:c>
      <x:c r="E21" s="74" t="str">
        <x:v>Pekan Semarang</x:v>
      </x:c>
      <x:c r="F21" s="75" t="n">
        <x:v>1.963</x:v>
      </x:c>
      <x:c r="G21" s="75" t="n">
        <x:v>103.078</x:v>
      </x:c>
      <x:c r="H21" s="74" t="str">
        <x:v>Sederhana</x:v>
      </x:c>
      <x:c r="I21" s="74" t="str">
        <x:v>Titik proksi pusat lokaliti — bukan koordinat rasmi pusat mengundi</x:v>
      </x:c>
      <x:c r="J21" s="74" t="str">
        <x:v>Titik proksi operasi; semak dalam GeoJohor/Google Maps dan laraskan kepada pusat operasi sebenar.</x:v>
      </x:c>
      <x:c r="K21" s="74" t="str">
        <x:v>https://www.google.com/maps/search/?api=1&amp;query=Pekan+Semarang%2C+Johor%2C+Malaysia</x:v>
      </x:c>
      <x:c r="L21" s="74" t="str">
        <x:v>https://www.spr.gov.my/sites/default/files/senarai-bahagian-pilihanraya-persekutuan-dan-negeri.pdf</x:v>
      </x:c>
      <x:c r="M21" s="74" t="str">
        <x:v>https://geoportal.johor.gov.my/petaawam/dun</x:v>
      </x:c>
    </x:row>
    <x:row r="22">
      <x:c r="A22" s="74" t="str">
        <x:v>Johor</x:v>
      </x:c>
      <x:c r="B22" s="74" t="str">
        <x:v>N.21</x:v>
      </x:c>
      <x:c r="C22" s="74" t="str">
        <x:v>Parit Yaani</x:v>
      </x:c>
      <x:c r="D22" s="74" t="str">
        <x:v>Batu Pahat</x:v>
      </x:c>
      <x:c r="E22" s="74" t="str">
        <x:v>Pekan Parit Yaani</x:v>
      </x:c>
      <x:c r="F22" s="75" t="n">
        <x:v>1.901</x:v>
      </x:c>
      <x:c r="G22" s="75" t="n">
        <x:v>103.114</x:v>
      </x:c>
      <x:c r="H22" s="74" t="str">
        <x:v>Sederhana</x:v>
      </x:c>
      <x:c r="I22" s="74" t="str">
        <x:v>Titik proksi pusat lokaliti — bukan koordinat rasmi pusat mengundi</x:v>
      </x:c>
      <x:c r="J22" s="74" t="str">
        <x:v>Titik proksi operasi; semak dalam GeoJohor/Google Maps dan laraskan kepada pusat operasi sebenar.</x:v>
      </x:c>
      <x:c r="K22" s="74" t="str">
        <x:v>https://www.google.com/maps/search/?api=1&amp;query=Pekan+Parit+Yaani%2C+Johor%2C+Malaysia</x:v>
      </x:c>
      <x:c r="L22" s="74" t="str">
        <x:v>https://www.spr.gov.my/sites/default/files/senarai-bahagian-pilihanraya-persekutuan-dan-negeri.pdf</x:v>
      </x:c>
      <x:c r="M22" s="74" t="str">
        <x:v>https://geoportal.johor.gov.my/petaawam/dun</x:v>
      </x:c>
    </x:row>
    <x:row r="23">
      <x:c r="A23" s="74" t="str">
        <x:v>Johor</x:v>
      </x:c>
      <x:c r="B23" s="74" t="str">
        <x:v>N.22</x:v>
      </x:c>
      <x:c r="C23" s="74" t="str">
        <x:v>Parit Raja</x:v>
      </x:c>
      <x:c r="D23" s="74" t="str">
        <x:v>Batu Pahat</x:v>
      </x:c>
      <x:c r="E23" s="74" t="str">
        <x:v>Pekan Parit Raja</x:v>
      </x:c>
      <x:c r="F23" s="75" t="n">
        <x:v>1.869</x:v>
      </x:c>
      <x:c r="G23" s="75" t="n">
        <x:v>103.113</x:v>
      </x:c>
      <x:c r="H23" s="74" t="str">
        <x:v>Tinggi</x:v>
      </x:c>
      <x:c r="I23" s="74" t="str">
        <x:v>Titik proksi pusat lokaliti — bukan koordinat rasmi pusat mengundi</x:v>
      </x:c>
      <x:c r="J23" s="74" t="str">
        <x:v>Titik pusat lokaliti yang jelas; masih perlu semakan sempadan DUN sebelum routing lapangan.</x:v>
      </x:c>
      <x:c r="K23" s="74" t="str">
        <x:v>https://www.google.com/maps/search/?api=1&amp;query=Pekan+Parit+Raja%2C+Johor%2C+Malaysia</x:v>
      </x:c>
      <x:c r="L23" s="74" t="str">
        <x:v>https://www.spr.gov.my/sites/default/files/senarai-bahagian-pilihanraya-persekutuan-dan-negeri.pdf</x:v>
      </x:c>
      <x:c r="M23" s="74" t="str">
        <x:v>https://geoportal.johor.gov.my/petaawam/dun</x:v>
      </x:c>
    </x:row>
    <x:row r="24">
      <x:c r="A24" s="74" t="str">
        <x:v>Johor</x:v>
      </x:c>
      <x:c r="B24" s="74" t="str">
        <x:v>N.23</x:v>
      </x:c>
      <x:c r="C24" s="74" t="str">
        <x:v>Penggaram</x:v>
      </x:c>
      <x:c r="D24" s="74" t="str">
        <x:v>Batu Pahat</x:v>
      </x:c>
      <x:c r="E24" s="74" t="str">
        <x:v>Bandar Penggaram / Batu Pahat</x:v>
      </x:c>
      <x:c r="F24" s="75" t="n">
        <x:v>1.8548</x:v>
      </x:c>
      <x:c r="G24" s="75" t="n">
        <x:v>102.9325</x:v>
      </x:c>
      <x:c r="H24" s="74" t="str">
        <x:v>Tinggi</x:v>
      </x:c>
      <x:c r="I24" s="74" t="str">
        <x:v>Titik proksi pusat lokaliti — bukan koordinat rasmi pusat mengundi</x:v>
      </x:c>
      <x:c r="J24" s="74" t="str">
        <x:v>Titik pusat lokaliti yang jelas; masih perlu semakan sempadan DUN sebelum routing lapangan.</x:v>
      </x:c>
      <x:c r="K24" s="74" t="str">
        <x:v>https://www.google.com/maps/search/?api=1&amp;query=Bandar+Penggaram+%2F+Batu+Pahat%2C+Johor%2C+Malaysia</x:v>
      </x:c>
      <x:c r="L24" s="74" t="str">
        <x:v>https://www.spr.gov.my/sites/default/files/senarai-bahagian-pilihanraya-persekutuan-dan-negeri.pdf</x:v>
      </x:c>
      <x:c r="M24" s="74" t="str">
        <x:v>https://geoportal.johor.gov.my/petaawam/dun</x:v>
      </x:c>
    </x:row>
    <x:row r="25">
      <x:c r="A25" s="74" t="str">
        <x:v>Johor</x:v>
      </x:c>
      <x:c r="B25" s="74" t="str">
        <x:v>N.24</x:v>
      </x:c>
      <x:c r="C25" s="74" t="str">
        <x:v>Senggarang</x:v>
      </x:c>
      <x:c r="D25" s="74" t="str">
        <x:v>Batu Pahat</x:v>
      </x:c>
      <x:c r="E25" s="74" t="str">
        <x:v>Pekan Senggarang</x:v>
      </x:c>
      <x:c r="F25" s="75" t="n">
        <x:v>1.813</x:v>
      </x:c>
      <x:c r="G25" s="75" t="n">
        <x:v>102.897</x:v>
      </x:c>
      <x:c r="H25" s="74" t="str">
        <x:v>Tinggi</x:v>
      </x:c>
      <x:c r="I25" s="74" t="str">
        <x:v>Titik proksi pusat lokaliti — bukan koordinat rasmi pusat mengundi</x:v>
      </x:c>
      <x:c r="J25" s="74" t="str">
        <x:v>Titik pusat lokaliti yang jelas; masih perlu semakan sempadan DUN sebelum routing lapangan.</x:v>
      </x:c>
      <x:c r="K25" s="74" t="str">
        <x:v>https://www.google.com/maps/search/?api=1&amp;query=Pekan+Senggarang%2C+Johor%2C+Malaysia</x:v>
      </x:c>
      <x:c r="L25" s="74" t="str">
        <x:v>https://www.spr.gov.my/sites/default/files/senarai-bahagian-pilihanraya-persekutuan-dan-negeri.pdf</x:v>
      </x:c>
      <x:c r="M25" s="74" t="str">
        <x:v>https://geoportal.johor.gov.my/petaawam/dun</x:v>
      </x:c>
    </x:row>
    <x:row r="26">
      <x:c r="A26" s="74" t="str">
        <x:v>Johor</x:v>
      </x:c>
      <x:c r="B26" s="74" t="str">
        <x:v>N.25</x:v>
      </x:c>
      <x:c r="C26" s="74" t="str">
        <x:v>Rengit</x:v>
      </x:c>
      <x:c r="D26" s="74" t="str">
        <x:v>Batu Pahat</x:v>
      </x:c>
      <x:c r="E26" s="74" t="str">
        <x:v>Pekan Rengit</x:v>
      </x:c>
      <x:c r="F26" s="75" t="n">
        <x:v>1.68</x:v>
      </x:c>
      <x:c r="G26" s="75" t="n">
        <x:v>103.146</x:v>
      </x:c>
      <x:c r="H26" s="74" t="str">
        <x:v>Tinggi</x:v>
      </x:c>
      <x:c r="I26" s="74" t="str">
        <x:v>Titik proksi pusat lokaliti — bukan koordinat rasmi pusat mengundi</x:v>
      </x:c>
      <x:c r="J26" s="74" t="str">
        <x:v>Titik pusat lokaliti yang jelas; masih perlu semakan sempadan DUN sebelum routing lapangan.</x:v>
      </x:c>
      <x:c r="K26" s="74" t="str">
        <x:v>https://www.google.com/maps/search/?api=1&amp;query=Pekan+Rengit%2C+Johor%2C+Malaysia</x:v>
      </x:c>
      <x:c r="L26" s="74" t="str">
        <x:v>https://www.spr.gov.my/sites/default/files/senarai-bahagian-pilihanraya-persekutuan-dan-negeri.pdf</x:v>
      </x:c>
      <x:c r="M26" s="74" t="str">
        <x:v>https://geoportal.johor.gov.my/petaawam/dun</x:v>
      </x:c>
    </x:row>
    <x:row r="27">
      <x:c r="A27" s="74" t="str">
        <x:v>Johor</x:v>
      </x:c>
      <x:c r="B27" s="74" t="str">
        <x:v>N.26</x:v>
      </x:c>
      <x:c r="C27" s="74" t="str">
        <x:v>Machap</x:v>
      </x:c>
      <x:c r="D27" s="74" t="str">
        <x:v>Kluang</x:v>
      </x:c>
      <x:c r="E27" s="74" t="str">
        <x:v>Pekan Machap</x:v>
      </x:c>
      <x:c r="F27" s="75" t="n">
        <x:v>1.911</x:v>
      </x:c>
      <x:c r="G27" s="75" t="n">
        <x:v>103.259</x:v>
      </x:c>
      <x:c r="H27" s="74" t="str">
        <x:v>Sederhana</x:v>
      </x:c>
      <x:c r="I27" s="74" t="str">
        <x:v>Titik proksi pusat lokaliti — bukan koordinat rasmi pusat mengundi</x:v>
      </x:c>
      <x:c r="J27" s="74" t="str">
        <x:v>Titik proksi operasi; semak dalam GeoJohor/Google Maps dan laraskan kepada pusat operasi sebenar.</x:v>
      </x:c>
      <x:c r="K27" s="74" t="str">
        <x:v>https://www.google.com/maps/search/?api=1&amp;query=Pekan+Machap%2C+Johor%2C+Malaysia</x:v>
      </x:c>
      <x:c r="L27" s="74" t="str">
        <x:v>https://www.spr.gov.my/sites/default/files/senarai-bahagian-pilihanraya-persekutuan-dan-negeri.pdf</x:v>
      </x:c>
      <x:c r="M27" s="74" t="str">
        <x:v>https://geoportal.johor.gov.my/petaawam/dun</x:v>
      </x:c>
    </x:row>
    <x:row r="28">
      <x:c r="A28" s="74" t="str">
        <x:v>Johor</x:v>
      </x:c>
      <x:c r="B28" s="74" t="str">
        <x:v>N.27</x:v>
      </x:c>
      <x:c r="C28" s="74" t="str">
        <x:v>Layang-Layang</x:v>
      </x:c>
      <x:c r="D28" s="74" t="str">
        <x:v>Kluang</x:v>
      </x:c>
      <x:c r="E28" s="74" t="str">
        <x:v>Pekan Layang-Layang</x:v>
      </x:c>
      <x:c r="F28" s="75" t="n">
        <x:v>1.816</x:v>
      </x:c>
      <x:c r="G28" s="75" t="n">
        <x:v>103.48</x:v>
      </x:c>
      <x:c r="H28" s="74" t="str">
        <x:v>Tinggi</x:v>
      </x:c>
      <x:c r="I28" s="74" t="str">
        <x:v>Titik proksi pusat lokaliti — bukan koordinat rasmi pusat mengundi</x:v>
      </x:c>
      <x:c r="J28" s="74" t="str">
        <x:v>Titik pusat lokaliti yang jelas; masih perlu semakan sempadan DUN sebelum routing lapangan.</x:v>
      </x:c>
      <x:c r="K28" s="74" t="str">
        <x:v>https://www.google.com/maps/search/?api=1&amp;query=Pekan+Layang-Layang%2C+Johor%2C+Malaysia</x:v>
      </x:c>
      <x:c r="L28" s="74" t="str">
        <x:v>https://www.spr.gov.my/sites/default/files/senarai-bahagian-pilihanraya-persekutuan-dan-negeri.pdf</x:v>
      </x:c>
      <x:c r="M28" s="74" t="str">
        <x:v>https://geoportal.johor.gov.my/petaawam/dun</x:v>
      </x:c>
    </x:row>
    <x:row r="29">
      <x:c r="A29" s="74" t="str">
        <x:v>Johor</x:v>
      </x:c>
      <x:c r="B29" s="74" t="str">
        <x:v>N.28</x:v>
      </x:c>
      <x:c r="C29" s="74" t="str">
        <x:v>Mengkibol</x:v>
      </x:c>
      <x:c r="D29" s="74" t="str">
        <x:v>Kluang</x:v>
      </x:c>
      <x:c r="E29" s="74" t="str">
        <x:v>Kluang Barat / Mengkibol</x:v>
      </x:c>
      <x:c r="F29" s="75" t="n">
        <x:v>2.03</x:v>
      </x:c>
      <x:c r="G29" s="75" t="n">
        <x:v>103.317</x:v>
      </x:c>
      <x:c r="H29" s="74" t="str">
        <x:v>Sederhana</x:v>
      </x:c>
      <x:c r="I29" s="74" t="str">
        <x:v>Titik proksi pusat lokaliti — bukan koordinat rasmi pusat mengundi</x:v>
      </x:c>
      <x:c r="J29" s="74" t="str">
        <x:v>Titik proksi operasi; semak dalam GeoJohor/Google Maps dan laraskan kepada pusat operasi sebenar.</x:v>
      </x:c>
      <x:c r="K29" s="74" t="str">
        <x:v>https://www.google.com/maps/search/?api=1&amp;query=Kluang+Barat+%2F+Mengkibol%2C+Johor%2C+Malaysia</x:v>
      </x:c>
      <x:c r="L29" s="74" t="str">
        <x:v>https://www.spr.gov.my/sites/default/files/senarai-bahagian-pilihanraya-persekutuan-dan-negeri.pdf</x:v>
      </x:c>
      <x:c r="M29" s="74" t="str">
        <x:v>https://geoportal.johor.gov.my/petaawam/dun</x:v>
      </x:c>
    </x:row>
    <x:row r="30">
      <x:c r="A30" s="74" t="str">
        <x:v>Johor</x:v>
      </x:c>
      <x:c r="B30" s="74" t="str">
        <x:v>N.29</x:v>
      </x:c>
      <x:c r="C30" s="74" t="str">
        <x:v>Mahkota</x:v>
      </x:c>
      <x:c r="D30" s="74" t="str">
        <x:v>Kluang</x:v>
      </x:c>
      <x:c r="E30" s="74" t="str">
        <x:v>Pusat Bandar Kluang / Mahkota</x:v>
      </x:c>
      <x:c r="F30" s="75" t="n">
        <x:v>2.03</x:v>
      </x:c>
      <x:c r="G30" s="75" t="n">
        <x:v>103.331</x:v>
      </x:c>
      <x:c r="H30" s="74" t="str">
        <x:v>Sederhana</x:v>
      </x:c>
      <x:c r="I30" s="74" t="str">
        <x:v>Titik proksi pusat lokaliti — bukan koordinat rasmi pusat mengundi</x:v>
      </x:c>
      <x:c r="J30" s="74" t="str">
        <x:v>Titik proksi operasi; semak dalam GeoJohor/Google Maps dan laraskan kepada pusat operasi sebenar.</x:v>
      </x:c>
      <x:c r="K30" s="74" t="str">
        <x:v>https://www.google.com/maps/search/?api=1&amp;query=Pusat+Bandar+Kluang+%2F+Mahkota%2C+Johor%2C+Malaysia</x:v>
      </x:c>
      <x:c r="L30" s="74" t="str">
        <x:v>https://www.spr.gov.my/sites/default/files/senarai-bahagian-pilihanraya-persekutuan-dan-negeri.pdf</x:v>
      </x:c>
      <x:c r="M30" s="74" t="str">
        <x:v>https://geoportal.johor.gov.my/petaawam/dun</x:v>
      </x:c>
    </x:row>
    <x:row r="31">
      <x:c r="A31" s="74" t="str">
        <x:v>Johor</x:v>
      </x:c>
      <x:c r="B31" s="74" t="str">
        <x:v>N.30</x:v>
      </x:c>
      <x:c r="C31" s="74" t="str">
        <x:v>Paloh</x:v>
      </x:c>
      <x:c r="D31" s="74" t="str">
        <x:v>Kluang</x:v>
      </x:c>
      <x:c r="E31" s="74" t="str">
        <x:v>Pekan Paloh</x:v>
      </x:c>
      <x:c r="F31" s="75" t="n">
        <x:v>2.189</x:v>
      </x:c>
      <x:c r="G31" s="75" t="n">
        <x:v>103.286</x:v>
      </x:c>
      <x:c r="H31" s="74" t="str">
        <x:v>Tinggi</x:v>
      </x:c>
      <x:c r="I31" s="74" t="str">
        <x:v>Titik proksi pusat lokaliti — bukan koordinat rasmi pusat mengundi</x:v>
      </x:c>
      <x:c r="J31" s="74" t="str">
        <x:v>Titik pusat lokaliti yang jelas; masih perlu semakan sempadan DUN sebelum routing lapangan.</x:v>
      </x:c>
      <x:c r="K31" s="74" t="str">
        <x:v>https://www.google.com/maps/search/?api=1&amp;query=Pekan+Paloh%2C+Johor%2C+Malaysia</x:v>
      </x:c>
      <x:c r="L31" s="74" t="str">
        <x:v>https://www.spr.gov.my/sites/default/files/senarai-bahagian-pilihanraya-persekutuan-dan-negeri.pdf</x:v>
      </x:c>
      <x:c r="M31" s="74" t="str">
        <x:v>https://geoportal.johor.gov.my/petaawam/dun</x:v>
      </x:c>
    </x:row>
    <x:row r="32">
      <x:c r="A32" s="74" t="str">
        <x:v>Johor</x:v>
      </x:c>
      <x:c r="B32" s="74" t="str">
        <x:v>N.31</x:v>
      </x:c>
      <x:c r="C32" s="74" t="str">
        <x:v>Kahang</x:v>
      </x:c>
      <x:c r="D32" s="74" t="str">
        <x:v>Kluang</x:v>
      </x:c>
      <x:c r="E32" s="74" t="str">
        <x:v>Pekan Kahang</x:v>
      </x:c>
      <x:c r="F32" s="75" t="n">
        <x:v>2.203</x:v>
      </x:c>
      <x:c r="G32" s="75" t="n">
        <x:v>103.545</x:v>
      </x:c>
      <x:c r="H32" s="74" t="str">
        <x:v>Tinggi</x:v>
      </x:c>
      <x:c r="I32" s="74" t="str">
        <x:v>Titik proksi pusat lokaliti — bukan koordinat rasmi pusat mengundi</x:v>
      </x:c>
      <x:c r="J32" s="74" t="str">
        <x:v>Titik pusat lokaliti yang jelas; masih perlu semakan sempadan DUN sebelum routing lapangan.</x:v>
      </x:c>
      <x:c r="K32" s="74" t="str">
        <x:v>https://www.google.com/maps/search/?api=1&amp;query=Pekan+Kahang%2C+Johor%2C+Malaysia</x:v>
      </x:c>
      <x:c r="L32" s="74" t="str">
        <x:v>https://www.spr.gov.my/sites/default/files/senarai-bahagian-pilihanraya-persekutuan-dan-negeri.pdf</x:v>
      </x:c>
      <x:c r="M32" s="74" t="str">
        <x:v>https://geoportal.johor.gov.my/petaawam/dun</x:v>
      </x:c>
    </x:row>
    <x:row r="33">
      <x:c r="A33" s="74" t="str">
        <x:v>Johor</x:v>
      </x:c>
      <x:c r="B33" s="74" t="str">
        <x:v>N.32</x:v>
      </x:c>
      <x:c r="C33" s="74" t="str">
        <x:v>Endau</x:v>
      </x:c>
      <x:c r="D33" s="74" t="str">
        <x:v>Mersing</x:v>
      </x:c>
      <x:c r="E33" s="74" t="str">
        <x:v>Pekan Endau</x:v>
      </x:c>
      <x:c r="F33" s="75" t="n">
        <x:v>2.65</x:v>
      </x:c>
      <x:c r="G33" s="75" t="n">
        <x:v>103.625</x:v>
      </x:c>
      <x:c r="H33" s="74" t="str">
        <x:v>Tinggi</x:v>
      </x:c>
      <x:c r="I33" s="74" t="str">
        <x:v>Titik proksi pusat lokaliti — bukan koordinat rasmi pusat mengundi</x:v>
      </x:c>
      <x:c r="J33" s="74" t="str">
        <x:v>Titik pusat lokaliti yang jelas; masih perlu semakan sempadan DUN sebelum routing lapangan.</x:v>
      </x:c>
      <x:c r="K33" s="74" t="str">
        <x:v>https://www.google.com/maps/search/?api=1&amp;query=Pekan+Endau%2C+Johor%2C+Malaysia</x:v>
      </x:c>
      <x:c r="L33" s="74" t="str">
        <x:v>https://www.spr.gov.my/sites/default/files/senarai-bahagian-pilihanraya-persekutuan-dan-negeri.pdf</x:v>
      </x:c>
      <x:c r="M33" s="74" t="str">
        <x:v>https://geoportal.johor.gov.my/petaawam/dun</x:v>
      </x:c>
    </x:row>
    <x:row r="34">
      <x:c r="A34" s="74" t="str">
        <x:v>Johor</x:v>
      </x:c>
      <x:c r="B34" s="74" t="str">
        <x:v>N.33</x:v>
      </x:c>
      <x:c r="C34" s="74" t="str">
        <x:v>Tenggaroh</x:v>
      </x:c>
      <x:c r="D34" s="74" t="str">
        <x:v>Mersing</x:v>
      </x:c>
      <x:c r="E34" s="74" t="str">
        <x:v>FELDA Tenggaroh</x:v>
      </x:c>
      <x:c r="F34" s="75" t="n">
        <x:v>2.085</x:v>
      </x:c>
      <x:c r="G34" s="75" t="n">
        <x:v>103.873</x:v>
      </x:c>
      <x:c r="H34" s="74" t="str">
        <x:v>Sederhana</x:v>
      </x:c>
      <x:c r="I34" s="74" t="str">
        <x:v>Titik proksi pusat lokaliti — bukan koordinat rasmi pusat mengundi</x:v>
      </x:c>
      <x:c r="J34" s="74" t="str">
        <x:v>Titik proksi operasi; semak dalam GeoJohor/Google Maps dan laraskan kepada pusat operasi sebenar.</x:v>
      </x:c>
      <x:c r="K34" s="74" t="str">
        <x:v>https://www.google.com/maps/search/?api=1&amp;query=FELDA+Tenggaroh%2C+Johor%2C+Malaysia</x:v>
      </x:c>
      <x:c r="L34" s="74" t="str">
        <x:v>https://www.spr.gov.my/sites/default/files/senarai-bahagian-pilihanraya-persekutuan-dan-negeri.pdf</x:v>
      </x:c>
      <x:c r="M34" s="74" t="str">
        <x:v>https://geoportal.johor.gov.my/petaawam/dun</x:v>
      </x:c>
    </x:row>
    <x:row r="35">
      <x:c r="A35" s="74" t="str">
        <x:v>Johor</x:v>
      </x:c>
      <x:c r="B35" s="74" t="str">
        <x:v>N.34</x:v>
      </x:c>
      <x:c r="C35" s="74" t="str">
        <x:v>Panti</x:v>
      </x:c>
      <x:c r="D35" s="74" t="str">
        <x:v>Kota Tinggi</x:v>
      </x:c>
      <x:c r="E35" s="74" t="str">
        <x:v>Kawasan Panti / Kota Tinggi</x:v>
      </x:c>
      <x:c r="F35" s="75" t="n">
        <x:v>1.83</x:v>
      </x:c>
      <x:c r="G35" s="75" t="n">
        <x:v>103.85</x:v>
      </x:c>
      <x:c r="H35" s="74" t="str">
        <x:v>Sederhana</x:v>
      </x:c>
      <x:c r="I35" s="74" t="str">
        <x:v>Titik proksi pusat lokaliti — bukan koordinat rasmi pusat mengundi</x:v>
      </x:c>
      <x:c r="J35" s="74" t="str">
        <x:v>Titik proksi operasi; semak dalam GeoJohor/Google Maps dan laraskan kepada pusat operasi sebenar.</x:v>
      </x:c>
      <x:c r="K35" s="74" t="str">
        <x:v>https://www.google.com/maps/search/?api=1&amp;query=Kawasan+Panti+%2F+Kota+Tinggi%2C+Johor%2C+Malaysia</x:v>
      </x:c>
      <x:c r="L35" s="74" t="str">
        <x:v>https://www.spr.gov.my/sites/default/files/senarai-bahagian-pilihanraya-persekutuan-dan-negeri.pdf</x:v>
      </x:c>
      <x:c r="M35" s="74" t="str">
        <x:v>https://geoportal.johor.gov.my/petaawam/dun</x:v>
      </x:c>
    </x:row>
    <x:row r="36">
      <x:c r="A36" s="74" t="str">
        <x:v>Johor</x:v>
      </x:c>
      <x:c r="B36" s="74" t="str">
        <x:v>N.35</x:v>
      </x:c>
      <x:c r="C36" s="74" t="str">
        <x:v>Pasir Raja</x:v>
      </x:c>
      <x:c r="D36" s="74" t="str">
        <x:v>Kota Tinggi</x:v>
      </x:c>
      <x:c r="E36" s="74" t="str">
        <x:v>Kampung Pasir Raja</x:v>
      </x:c>
      <x:c r="F36" s="75" t="n">
        <x:v>2.149</x:v>
      </x:c>
      <x:c r="G36" s="75" t="n">
        <x:v>103.726</x:v>
      </x:c>
      <x:c r="H36" s="74" t="str">
        <x:v>Rendah</x:v>
      </x:c>
      <x:c r="I36" s="74" t="str">
        <x:v>Titik proksi pusat lokaliti — bukan koordinat rasmi pusat mengundi</x:v>
      </x:c>
      <x:c r="J36" s="74" t="str">
        <x:v>Anggaran awal bagi kerusi rural; wajib QA GIS/lapangan sebelum digunakan untuk dispatch.</x:v>
      </x:c>
      <x:c r="K36" s="74" t="str">
        <x:v>https://www.google.com/maps/search/?api=1&amp;query=Kampung+Pasir+Raja%2C+Johor%2C+Malaysia</x:v>
      </x:c>
      <x:c r="L36" s="74" t="str">
        <x:v>https://www.spr.gov.my/sites/default/files/senarai-bahagian-pilihanraya-persekutuan-dan-negeri.pdf</x:v>
      </x:c>
      <x:c r="M36" s="74" t="str">
        <x:v>https://geoportal.johor.gov.my/petaawam/dun</x:v>
      </x:c>
    </x:row>
    <x:row r="37">
      <x:c r="A37" s="74" t="str">
        <x:v>Johor</x:v>
      </x:c>
      <x:c r="B37" s="74" t="str">
        <x:v>N.36</x:v>
      </x:c>
      <x:c r="C37" s="74" t="str">
        <x:v>Sedili</x:v>
      </x:c>
      <x:c r="D37" s="74" t="str">
        <x:v>Kota Tinggi</x:v>
      </x:c>
      <x:c r="E37" s="74" t="str">
        <x:v>Sedili Besar</x:v>
      </x:c>
      <x:c r="F37" s="75" t="n">
        <x:v>1.925</x:v>
      </x:c>
      <x:c r="G37" s="75" t="n">
        <x:v>104.12</x:v>
      </x:c>
      <x:c r="H37" s="74" t="str">
        <x:v>Sederhana</x:v>
      </x:c>
      <x:c r="I37" s="74" t="str">
        <x:v>Titik proksi pusat lokaliti — bukan koordinat rasmi pusat mengundi</x:v>
      </x:c>
      <x:c r="J37" s="74" t="str">
        <x:v>Titik proksi operasi; semak dalam GeoJohor/Google Maps dan laraskan kepada pusat operasi sebenar.</x:v>
      </x:c>
      <x:c r="K37" s="74" t="str">
        <x:v>https://www.google.com/maps/search/?api=1&amp;query=Sedili+Besar%2C+Johor%2C+Malaysia</x:v>
      </x:c>
      <x:c r="L37" s="74" t="str">
        <x:v>https://www.spr.gov.my/sites/default/files/senarai-bahagian-pilihanraya-persekutuan-dan-negeri.pdf</x:v>
      </x:c>
      <x:c r="M37" s="74" t="str">
        <x:v>https://geoportal.johor.gov.my/petaawam/dun</x:v>
      </x:c>
    </x:row>
    <x:row r="38">
      <x:c r="A38" s="74" t="str">
        <x:v>Johor</x:v>
      </x:c>
      <x:c r="B38" s="74" t="str">
        <x:v>N.37</x:v>
      </x:c>
      <x:c r="C38" s="74" t="str">
        <x:v>Johor Lama</x:v>
      </x:c>
      <x:c r="D38" s="74" t="str">
        <x:v>Kota Tinggi</x:v>
      </x:c>
      <x:c r="E38" s="74" t="str">
        <x:v>Kampung Johor Lama</x:v>
      </x:c>
      <x:c r="F38" s="75" t="n">
        <x:v>1.584</x:v>
      </x:c>
      <x:c r="G38" s="75" t="n">
        <x:v>104.018</x:v>
      </x:c>
      <x:c r="H38" s="74" t="str">
        <x:v>Tinggi</x:v>
      </x:c>
      <x:c r="I38" s="74" t="str">
        <x:v>Titik proksi pusat lokaliti — bukan koordinat rasmi pusat mengundi</x:v>
      </x:c>
      <x:c r="J38" s="74" t="str">
        <x:v>Titik pusat lokaliti yang jelas; masih perlu semakan sempadan DUN sebelum routing lapangan.</x:v>
      </x:c>
      <x:c r="K38" s="74" t="str">
        <x:v>https://www.google.com/maps/search/?api=1&amp;query=Kampung+Johor+Lama%2C+Johor%2C+Malaysia</x:v>
      </x:c>
      <x:c r="L38" s="74" t="str">
        <x:v>https://www.spr.gov.my/sites/default/files/senarai-bahagian-pilihanraya-persekutuan-dan-negeri.pdf</x:v>
      </x:c>
      <x:c r="M38" s="74" t="str">
        <x:v>https://geoportal.johor.gov.my/petaawam/dun</x:v>
      </x:c>
    </x:row>
    <x:row r="39">
      <x:c r="A39" s="74" t="str">
        <x:v>Johor</x:v>
      </x:c>
      <x:c r="B39" s="74" t="str">
        <x:v>N.38</x:v>
      </x:c>
      <x:c r="C39" s="74" t="str">
        <x:v>Penawar</x:v>
      </x:c>
      <x:c r="D39" s="74" t="str">
        <x:v>Kota Tinggi</x:v>
      </x:c>
      <x:c r="E39" s="74" t="str">
        <x:v>Bandar Penawar</x:v>
      </x:c>
      <x:c r="F39" s="75" t="n">
        <x:v>1.559</x:v>
      </x:c>
      <x:c r="G39" s="75" t="n">
        <x:v>104.22</x:v>
      </x:c>
      <x:c r="H39" s="74" t="str">
        <x:v>Tinggi</x:v>
      </x:c>
      <x:c r="I39" s="74" t="str">
        <x:v>Titik proksi pusat lokaliti — bukan koordinat rasmi pusat mengundi</x:v>
      </x:c>
      <x:c r="J39" s="74" t="str">
        <x:v>Titik pusat lokaliti yang jelas; masih perlu semakan sempadan DUN sebelum routing lapangan.</x:v>
      </x:c>
      <x:c r="K39" s="74" t="str">
        <x:v>https://www.google.com/maps/search/?api=1&amp;query=Bandar+Penawar%2C+Johor%2C+Malaysia</x:v>
      </x:c>
      <x:c r="L39" s="74" t="str">
        <x:v>https://www.spr.gov.my/sites/default/files/senarai-bahagian-pilihanraya-persekutuan-dan-negeri.pdf</x:v>
      </x:c>
      <x:c r="M39" s="74" t="str">
        <x:v>https://geoportal.johor.gov.my/petaawam/dun</x:v>
      </x:c>
    </x:row>
    <x:row r="40">
      <x:c r="A40" s="74" t="str">
        <x:v>Johor</x:v>
      </x:c>
      <x:c r="B40" s="74" t="str">
        <x:v>N.39</x:v>
      </x:c>
      <x:c r="C40" s="74" t="str">
        <x:v>Tanjung Surat</x:v>
      </x:c>
      <x:c r="D40" s="74" t="str">
        <x:v>Kota Tinggi</x:v>
      </x:c>
      <x:c r="E40" s="74" t="str">
        <x:v>Tanjung Surat</x:v>
      </x:c>
      <x:c r="F40" s="75" t="n">
        <x:v>1.494</x:v>
      </x:c>
      <x:c r="G40" s="75" t="n">
        <x:v>104.193</x:v>
      </x:c>
      <x:c r="H40" s="74" t="str">
        <x:v>Sederhana</x:v>
      </x:c>
      <x:c r="I40" s="74" t="str">
        <x:v>Titik proksi pusat lokaliti — bukan koordinat rasmi pusat mengundi</x:v>
      </x:c>
      <x:c r="J40" s="74" t="str">
        <x:v>Titik proksi operasi; semak dalam GeoJohor/Google Maps dan laraskan kepada pusat operasi sebenar.</x:v>
      </x:c>
      <x:c r="K40" s="74" t="str">
        <x:v>https://www.google.com/maps/search/?api=1&amp;query=Tanjung+Surat%2C+Johor%2C+Malaysia</x:v>
      </x:c>
      <x:c r="L40" s="74" t="str">
        <x:v>https://www.spr.gov.my/sites/default/files/senarai-bahagian-pilihanraya-persekutuan-dan-negeri.pdf</x:v>
      </x:c>
      <x:c r="M40" s="74" t="str">
        <x:v>https://geoportal.johor.gov.my/petaawam/dun</x:v>
      </x:c>
    </x:row>
    <x:row r="41">
      <x:c r="A41" s="74" t="str">
        <x:v>Johor</x:v>
      </x:c>
      <x:c r="B41" s="74" t="str">
        <x:v>N.40</x:v>
      </x:c>
      <x:c r="C41" s="74" t="str">
        <x:v>Tiram</x:v>
      </x:c>
      <x:c r="D41" s="74" t="str">
        <x:v>Johor Bahru</x:v>
      </x:c>
      <x:c r="E41" s="74" t="str">
        <x:v>Ulu Tiram</x:v>
      </x:c>
      <x:c r="F41" s="75" t="n">
        <x:v>1.6</x:v>
      </x:c>
      <x:c r="G41" s="75" t="n">
        <x:v>103.817</x:v>
      </x:c>
      <x:c r="H41" s="74" t="str">
        <x:v>Tinggi</x:v>
      </x:c>
      <x:c r="I41" s="74" t="str">
        <x:v>Titik proksi pusat lokaliti — bukan koordinat rasmi pusat mengundi</x:v>
      </x:c>
      <x:c r="J41" s="74" t="str">
        <x:v>Titik pusat lokaliti yang jelas; masih perlu semakan sempadan DUN sebelum routing lapangan.</x:v>
      </x:c>
      <x:c r="K41" s="74" t="str">
        <x:v>https://www.google.com/maps/search/?api=1&amp;query=Ulu+Tiram%2C+Johor%2C+Malaysia</x:v>
      </x:c>
      <x:c r="L41" s="74" t="str">
        <x:v>https://www.spr.gov.my/sites/default/files/senarai-bahagian-pilihanraya-persekutuan-dan-negeri.pdf</x:v>
      </x:c>
      <x:c r="M41" s="74" t="str">
        <x:v>https://geoportal.johor.gov.my/petaawam/dun</x:v>
      </x:c>
    </x:row>
    <x:row r="42">
      <x:c r="A42" s="74" t="str">
        <x:v>Johor</x:v>
      </x:c>
      <x:c r="B42" s="74" t="str">
        <x:v>N.41</x:v>
      </x:c>
      <x:c r="C42" s="74" t="str">
        <x:v>Puteri Wangsa</x:v>
      </x:c>
      <x:c r="D42" s="74" t="str">
        <x:v>Johor Bahru</x:v>
      </x:c>
      <x:c r="E42" s="74" t="str">
        <x:v>Bandar Puteri Wangsa</x:v>
      </x:c>
      <x:c r="F42" s="75" t="n">
        <x:v>1.575</x:v>
      </x:c>
      <x:c r="G42" s="75" t="n">
        <x:v>103.827</x:v>
      </x:c>
      <x:c r="H42" s="74" t="str">
        <x:v>Tinggi</x:v>
      </x:c>
      <x:c r="I42" s="74" t="str">
        <x:v>Titik proksi pusat lokaliti — bukan koordinat rasmi pusat mengundi</x:v>
      </x:c>
      <x:c r="J42" s="74" t="str">
        <x:v>Titik pusat lokaliti yang jelas; masih perlu semakan sempadan DUN sebelum routing lapangan.</x:v>
      </x:c>
      <x:c r="K42" s="74" t="str">
        <x:v>https://www.google.com/maps/search/?api=1&amp;query=Bandar+Puteri+Wangsa%2C+Johor%2C+Malaysia</x:v>
      </x:c>
      <x:c r="L42" s="74" t="str">
        <x:v>https://www.spr.gov.my/sites/default/files/senarai-bahagian-pilihanraya-persekutuan-dan-negeri.pdf</x:v>
      </x:c>
      <x:c r="M42" s="74" t="str">
        <x:v>https://geoportal.johor.gov.my/petaawam/dun</x:v>
      </x:c>
    </x:row>
    <x:row r="43">
      <x:c r="A43" s="74" t="str">
        <x:v>Johor</x:v>
      </x:c>
      <x:c r="B43" s="74" t="str">
        <x:v>N.42</x:v>
      </x:c>
      <x:c r="C43" s="74" t="str">
        <x:v>Johor Jaya</x:v>
      </x:c>
      <x:c r="D43" s="74" t="str">
        <x:v>Johor Bahru</x:v>
      </x:c>
      <x:c r="E43" s="74" t="str">
        <x:v>Taman Johor Jaya</x:v>
      </x:c>
      <x:c r="F43" s="75" t="n">
        <x:v>1.535</x:v>
      </x:c>
      <x:c r="G43" s="75" t="n">
        <x:v>103.8</x:v>
      </x:c>
      <x:c r="H43" s="74" t="str">
        <x:v>Tinggi</x:v>
      </x:c>
      <x:c r="I43" s="74" t="str">
        <x:v>Titik proksi pusat lokaliti — bukan koordinat rasmi pusat mengundi</x:v>
      </x:c>
      <x:c r="J43" s="74" t="str">
        <x:v>Titik pusat lokaliti yang jelas; masih perlu semakan sempadan DUN sebelum routing lapangan.</x:v>
      </x:c>
      <x:c r="K43" s="74" t="str">
        <x:v>https://www.google.com/maps/search/?api=1&amp;query=Taman+Johor+Jaya%2C+Johor%2C+Malaysia</x:v>
      </x:c>
      <x:c r="L43" s="74" t="str">
        <x:v>https://www.spr.gov.my/sites/default/files/senarai-bahagian-pilihanraya-persekutuan-dan-negeri.pdf</x:v>
      </x:c>
      <x:c r="M43" s="74" t="str">
        <x:v>https://geoportal.johor.gov.my/petaawam/dun</x:v>
      </x:c>
    </x:row>
    <x:row r="44">
      <x:c r="A44" s="74" t="str">
        <x:v>Johor</x:v>
      </x:c>
      <x:c r="B44" s="74" t="str">
        <x:v>N.43</x:v>
      </x:c>
      <x:c r="C44" s="74" t="str">
        <x:v>Permas</x:v>
      </x:c>
      <x:c r="D44" s="74" t="str">
        <x:v>Johor Bahru</x:v>
      </x:c>
      <x:c r="E44" s="74" t="str">
        <x:v>Bandar Baru Permas Jaya</x:v>
      </x:c>
      <x:c r="F44" s="75" t="n">
        <x:v>1.498</x:v>
      </x:c>
      <x:c r="G44" s="75" t="n">
        <x:v>103.817</x:v>
      </x:c>
      <x:c r="H44" s="74" t="str">
        <x:v>Tinggi</x:v>
      </x:c>
      <x:c r="I44" s="74" t="str">
        <x:v>Titik proksi pusat lokaliti — bukan koordinat rasmi pusat mengundi</x:v>
      </x:c>
      <x:c r="J44" s="74" t="str">
        <x:v>Titik pusat lokaliti yang jelas; masih perlu semakan sempadan DUN sebelum routing lapangan.</x:v>
      </x:c>
      <x:c r="K44" s="74" t="str">
        <x:v>https://www.google.com/maps/search/?api=1&amp;query=Bandar+Baru+Permas+Jaya%2C+Johor%2C+Malaysia</x:v>
      </x:c>
      <x:c r="L44" s="74" t="str">
        <x:v>https://www.spr.gov.my/sites/default/files/senarai-bahagian-pilihanraya-persekutuan-dan-negeri.pdf</x:v>
      </x:c>
      <x:c r="M44" s="74" t="str">
        <x:v>https://geoportal.johor.gov.my/petaawam/dun</x:v>
      </x:c>
    </x:row>
    <x:row r="45">
      <x:c r="A45" s="74" t="str">
        <x:v>Johor</x:v>
      </x:c>
      <x:c r="B45" s="74" t="str">
        <x:v>N.44</x:v>
      </x:c>
      <x:c r="C45" s="74" t="str">
        <x:v>Larkin</x:v>
      </x:c>
      <x:c r="D45" s="74" t="str">
        <x:v>Johor Bahru</x:v>
      </x:c>
      <x:c r="E45" s="74" t="str">
        <x:v>Larkin</x:v>
      </x:c>
      <x:c r="F45" s="75" t="n">
        <x:v>1.493</x:v>
      </x:c>
      <x:c r="G45" s="75" t="n">
        <x:v>103.742</x:v>
      </x:c>
      <x:c r="H45" s="74" t="str">
        <x:v>Tinggi</x:v>
      </x:c>
      <x:c r="I45" s="74" t="str">
        <x:v>Titik proksi pusat lokaliti — bukan koordinat rasmi pusat mengundi</x:v>
      </x:c>
      <x:c r="J45" s="74" t="str">
        <x:v>Titik pusat lokaliti yang jelas; masih perlu semakan sempadan DUN sebelum routing lapangan.</x:v>
      </x:c>
      <x:c r="K45" s="74" t="str">
        <x:v>https://www.google.com/maps/search/?api=1&amp;query=Larkin%2C+Johor%2C+Malaysia</x:v>
      </x:c>
      <x:c r="L45" s="74" t="str">
        <x:v>https://www.spr.gov.my/sites/default/files/senarai-bahagian-pilihanraya-persekutuan-dan-negeri.pdf</x:v>
      </x:c>
      <x:c r="M45" s="74" t="str">
        <x:v>https://geoportal.johor.gov.my/petaawam/dun</x:v>
      </x:c>
    </x:row>
    <x:row r="46">
      <x:c r="A46" s="74" t="str">
        <x:v>Johor</x:v>
      </x:c>
      <x:c r="B46" s="74" t="str">
        <x:v>N.45</x:v>
      </x:c>
      <x:c r="C46" s="74" t="str">
        <x:v>Stulang</x:v>
      </x:c>
      <x:c r="D46" s="74" t="str">
        <x:v>Johor Bahru</x:v>
      </x:c>
      <x:c r="E46" s="74" t="str">
        <x:v>Stulang</x:v>
      </x:c>
      <x:c r="F46" s="75" t="n">
        <x:v>1.476</x:v>
      </x:c>
      <x:c r="G46" s="75" t="n">
        <x:v>103.766</x:v>
      </x:c>
      <x:c r="H46" s="74" t="str">
        <x:v>Tinggi</x:v>
      </x:c>
      <x:c r="I46" s="74" t="str">
        <x:v>Titik proksi pusat lokaliti — bukan koordinat rasmi pusat mengundi</x:v>
      </x:c>
      <x:c r="J46" s="74" t="str">
        <x:v>Titik pusat lokaliti yang jelas; masih perlu semakan sempadan DUN sebelum routing lapangan.</x:v>
      </x:c>
      <x:c r="K46" s="74" t="str">
        <x:v>https://www.google.com/maps/search/?api=1&amp;query=Stulang%2C+Johor%2C+Malaysia</x:v>
      </x:c>
      <x:c r="L46" s="74" t="str">
        <x:v>https://www.spr.gov.my/sites/default/files/senarai-bahagian-pilihanraya-persekutuan-dan-negeri.pdf</x:v>
      </x:c>
      <x:c r="M46" s="74" t="str">
        <x:v>https://geoportal.johor.gov.my/petaawam/dun</x:v>
      </x:c>
    </x:row>
    <x:row r="47">
      <x:c r="A47" s="74" t="str">
        <x:v>Johor</x:v>
      </x:c>
      <x:c r="B47" s="74" t="str">
        <x:v>N.46</x:v>
      </x:c>
      <x:c r="C47" s="74" t="str">
        <x:v>Perling</x:v>
      </x:c>
      <x:c r="D47" s="74" t="str">
        <x:v>Johor Bahru</x:v>
      </x:c>
      <x:c r="E47" s="74" t="str">
        <x:v>Taman Perling</x:v>
      </x:c>
      <x:c r="F47" s="75" t="n">
        <x:v>1.494</x:v>
      </x:c>
      <x:c r="G47" s="75" t="n">
        <x:v>103.68</x:v>
      </x:c>
      <x:c r="H47" s="74" t="str">
        <x:v>Tinggi</x:v>
      </x:c>
      <x:c r="I47" s="74" t="str">
        <x:v>Titik proksi pusat lokaliti — bukan koordinat rasmi pusat mengundi</x:v>
      </x:c>
      <x:c r="J47" s="74" t="str">
        <x:v>Titik pusat lokaliti yang jelas; masih perlu semakan sempadan DUN sebelum routing lapangan.</x:v>
      </x:c>
      <x:c r="K47" s="74" t="str">
        <x:v>https://www.google.com/maps/search/?api=1&amp;query=Taman+Perling%2C+Johor%2C+Malaysia</x:v>
      </x:c>
      <x:c r="L47" s="74" t="str">
        <x:v>https://www.spr.gov.my/sites/default/files/senarai-bahagian-pilihanraya-persekutuan-dan-negeri.pdf</x:v>
      </x:c>
      <x:c r="M47" s="74" t="str">
        <x:v>https://geoportal.johor.gov.my/petaawam/dun</x:v>
      </x:c>
    </x:row>
    <x:row r="48">
      <x:c r="A48" s="74" t="str">
        <x:v>Johor</x:v>
      </x:c>
      <x:c r="B48" s="74" t="str">
        <x:v>N.47</x:v>
      </x:c>
      <x:c r="C48" s="74" t="str">
        <x:v>Kempas</x:v>
      </x:c>
      <x:c r="D48" s="74" t="str">
        <x:v>Johor Bahru</x:v>
      </x:c>
      <x:c r="E48" s="74" t="str">
        <x:v>Kempas</x:v>
      </x:c>
      <x:c r="F48" s="75" t="n">
        <x:v>1.557</x:v>
      </x:c>
      <x:c r="G48" s="75" t="n">
        <x:v>103.716</x:v>
      </x:c>
      <x:c r="H48" s="74" t="str">
        <x:v>Tinggi</x:v>
      </x:c>
      <x:c r="I48" s="74" t="str">
        <x:v>Titik proksi pusat lokaliti — bukan koordinat rasmi pusat mengundi</x:v>
      </x:c>
      <x:c r="J48" s="74" t="str">
        <x:v>Titik pusat lokaliti yang jelas; masih perlu semakan sempadan DUN sebelum routing lapangan.</x:v>
      </x:c>
      <x:c r="K48" s="74" t="str">
        <x:v>https://www.google.com/maps/search/?api=1&amp;query=Kempas%2C+Johor%2C+Malaysia</x:v>
      </x:c>
      <x:c r="L48" s="74" t="str">
        <x:v>https://www.spr.gov.my/sites/default/files/senarai-bahagian-pilihanraya-persekutuan-dan-negeri.pdf</x:v>
      </x:c>
      <x:c r="M48" s="74" t="str">
        <x:v>https://geoportal.johor.gov.my/petaawam/dun</x:v>
      </x:c>
    </x:row>
    <x:row r="49">
      <x:c r="A49" s="74" t="str">
        <x:v>Johor</x:v>
      </x:c>
      <x:c r="B49" s="74" t="str">
        <x:v>N.48</x:v>
      </x:c>
      <x:c r="C49" s="74" t="str">
        <x:v>Skudai</x:v>
      </x:c>
      <x:c r="D49" s="74" t="str">
        <x:v>Johor Bahru</x:v>
      </x:c>
      <x:c r="E49" s="74" t="str">
        <x:v>Bandar Skudai</x:v>
      </x:c>
      <x:c r="F49" s="75" t="n">
        <x:v>1.537</x:v>
      </x:c>
      <x:c r="G49" s="75" t="n">
        <x:v>103.66</x:v>
      </x:c>
      <x:c r="H49" s="74" t="str">
        <x:v>Tinggi</x:v>
      </x:c>
      <x:c r="I49" s="74" t="str">
        <x:v>Titik proksi pusat lokaliti — bukan koordinat rasmi pusat mengundi</x:v>
      </x:c>
      <x:c r="J49" s="74" t="str">
        <x:v>Titik pusat lokaliti yang jelas; masih perlu semakan sempadan DUN sebelum routing lapangan.</x:v>
      </x:c>
      <x:c r="K49" s="74" t="str">
        <x:v>https://www.google.com/maps/search/?api=1&amp;query=Bandar+Skudai%2C+Johor%2C+Malaysia</x:v>
      </x:c>
      <x:c r="L49" s="74" t="str">
        <x:v>https://www.spr.gov.my/sites/default/files/senarai-bahagian-pilihanraya-persekutuan-dan-negeri.pdf</x:v>
      </x:c>
      <x:c r="M49" s="74" t="str">
        <x:v>https://geoportal.johor.gov.my/petaawam/dun</x:v>
      </x:c>
    </x:row>
    <x:row r="50">
      <x:c r="A50" s="74" t="str">
        <x:v>Johor</x:v>
      </x:c>
      <x:c r="B50" s="74" t="str">
        <x:v>N.49</x:v>
      </x:c>
      <x:c r="C50" s="74" t="str">
        <x:v>Kota Iskandar</x:v>
      </x:c>
      <x:c r="D50" s="74" t="str">
        <x:v>Iskandar Puteri</x:v>
      </x:c>
      <x:c r="E50" s="74" t="str">
        <x:v>Kota Iskandar</x:v>
      </x:c>
      <x:c r="F50" s="75" t="n">
        <x:v>1.427</x:v>
      </x:c>
      <x:c r="G50" s="75" t="n">
        <x:v>103.633</x:v>
      </x:c>
      <x:c r="H50" s="74" t="str">
        <x:v>Tinggi</x:v>
      </x:c>
      <x:c r="I50" s="74" t="str">
        <x:v>Titik proksi pusat lokaliti — bukan koordinat rasmi pusat mengundi</x:v>
      </x:c>
      <x:c r="J50" s="74" t="str">
        <x:v>Titik pusat lokaliti yang jelas; masih perlu semakan sempadan DUN sebelum routing lapangan.</x:v>
      </x:c>
      <x:c r="K50" s="74" t="str">
        <x:v>https://www.google.com/maps/search/?api=1&amp;query=Kota+Iskandar%2C+Johor%2C+Malaysia</x:v>
      </x:c>
      <x:c r="L50" s="74" t="str">
        <x:v>https://www.spr.gov.my/sites/default/files/senarai-bahagian-pilihanraya-persekutuan-dan-negeri.pdf</x:v>
      </x:c>
      <x:c r="M50" s="74" t="str">
        <x:v>https://geoportal.johor.gov.my/petaawam/dun</x:v>
      </x:c>
    </x:row>
    <x:row r="51">
      <x:c r="A51" s="74" t="str">
        <x:v>Johor</x:v>
      </x:c>
      <x:c r="B51" s="74" t="str">
        <x:v>N.50</x:v>
      </x:c>
      <x:c r="C51" s="74" t="str">
        <x:v>Bukit Permai</x:v>
      </x:c>
      <x:c r="D51" s="74" t="str">
        <x:v>Kulai</x:v>
      </x:c>
      <x:c r="E51" s="74" t="str">
        <x:v>Kawasan Bukit Permai / Kulai</x:v>
      </x:c>
      <x:c r="F51" s="75" t="n">
        <x:v>1.641</x:v>
      </x:c>
      <x:c r="G51" s="75" t="n">
        <x:v>103.61</x:v>
      </x:c>
      <x:c r="H51" s="74" t="str">
        <x:v>Sederhana</x:v>
      </x:c>
      <x:c r="I51" s="74" t="str">
        <x:v>Titik proksi pusat lokaliti — bukan koordinat rasmi pusat mengundi</x:v>
      </x:c>
      <x:c r="J51" s="74" t="str">
        <x:v>Titik proksi operasi; semak dalam GeoJohor/Google Maps dan laraskan kepada pusat operasi sebenar.</x:v>
      </x:c>
      <x:c r="K51" s="74" t="str">
        <x:v>https://www.google.com/maps/search/?api=1&amp;query=Kawasan+Bukit+Permai+%2F+Kulai%2C+Johor%2C+Malaysia</x:v>
      </x:c>
      <x:c r="L51" s="74" t="str">
        <x:v>https://www.spr.gov.my/sites/default/files/senarai-bahagian-pilihanraya-persekutuan-dan-negeri.pdf</x:v>
      </x:c>
      <x:c r="M51" s="74" t="str">
        <x:v>https://geoportal.johor.gov.my/petaawam/dun</x:v>
      </x:c>
    </x:row>
    <x:row r="52">
      <x:c r="A52" s="74" t="str">
        <x:v>Johor</x:v>
      </x:c>
      <x:c r="B52" s="74" t="str">
        <x:v>N.51</x:v>
      </x:c>
      <x:c r="C52" s="74" t="str">
        <x:v>Bukit Batu</x:v>
      </x:c>
      <x:c r="D52" s="74" t="str">
        <x:v>Kulai</x:v>
      </x:c>
      <x:c r="E52" s="74" t="str">
        <x:v>Kawasan Bukit Batu</x:v>
      </x:c>
      <x:c r="F52" s="75" t="n">
        <x:v>1.688</x:v>
      </x:c>
      <x:c r="G52" s="75" t="n">
        <x:v>103.54</x:v>
      </x:c>
      <x:c r="H52" s="74" t="str">
        <x:v>Sederhana</x:v>
      </x:c>
      <x:c r="I52" s="74" t="str">
        <x:v>Titik proksi pusat lokaliti — bukan koordinat rasmi pusat mengundi</x:v>
      </x:c>
      <x:c r="J52" s="74" t="str">
        <x:v>Titik proksi operasi; semak dalam GeoJohor/Google Maps dan laraskan kepada pusat operasi sebenar.</x:v>
      </x:c>
      <x:c r="K52" s="74" t="str">
        <x:v>https://www.google.com/maps/search/?api=1&amp;query=Kawasan+Bukit+Batu%2C+Johor%2C+Malaysia</x:v>
      </x:c>
      <x:c r="L52" s="74" t="str">
        <x:v>https://www.spr.gov.my/sites/default/files/senarai-bahagian-pilihanraya-persekutuan-dan-negeri.pdf</x:v>
      </x:c>
      <x:c r="M52" s="74" t="str">
        <x:v>https://geoportal.johor.gov.my/petaawam/dun</x:v>
      </x:c>
    </x:row>
    <x:row r="53">
      <x:c r="A53" s="74" t="str">
        <x:v>Johor</x:v>
      </x:c>
      <x:c r="B53" s="74" t="str">
        <x:v>N.52</x:v>
      </x:c>
      <x:c r="C53" s="74" t="str">
        <x:v>Senai</x:v>
      </x:c>
      <x:c r="D53" s="74" t="str">
        <x:v>Kulai</x:v>
      </x:c>
      <x:c r="E53" s="74" t="str">
        <x:v>Bandar Senai</x:v>
      </x:c>
      <x:c r="F53" s="75" t="n">
        <x:v>1.6006</x:v>
      </x:c>
      <x:c r="G53" s="75" t="n">
        <x:v>103.6419</x:v>
      </x:c>
      <x:c r="H53" s="74" t="str">
        <x:v>Tinggi</x:v>
      </x:c>
      <x:c r="I53" s="74" t="str">
        <x:v>Titik proksi pusat lokaliti — bukan koordinat rasmi pusat mengundi</x:v>
      </x:c>
      <x:c r="J53" s="74" t="str">
        <x:v>Titik pusat lokaliti yang jelas; masih perlu semakan sempadan DUN sebelum routing lapangan.</x:v>
      </x:c>
      <x:c r="K53" s="74" t="str">
        <x:v>https://www.google.com/maps/search/?api=1&amp;query=Bandar+Senai%2C+Johor%2C+Malaysia</x:v>
      </x:c>
      <x:c r="L53" s="74" t="str">
        <x:v>https://www.spr.gov.my/sites/default/files/senarai-bahagian-pilihanraya-persekutuan-dan-negeri.pdf</x:v>
      </x:c>
      <x:c r="M53" s="74" t="str">
        <x:v>https://geoportal.johor.gov.my/petaawam/dun</x:v>
      </x:c>
    </x:row>
    <x:row r="54">
      <x:c r="A54" s="74" t="str">
        <x:v>Johor</x:v>
      </x:c>
      <x:c r="B54" s="74" t="str">
        <x:v>N.53</x:v>
      </x:c>
      <x:c r="C54" s="74" t="str">
        <x:v>Benut</x:v>
      </x:c>
      <x:c r="D54" s="74" t="str">
        <x:v>Pontian</x:v>
      </x:c>
      <x:c r="E54" s="74" t="str">
        <x:v>Pekan Benut</x:v>
      </x:c>
      <x:c r="F54" s="75" t="n">
        <x:v>1.65</x:v>
      </x:c>
      <x:c r="G54" s="75" t="n">
        <x:v>103.45</x:v>
      </x:c>
      <x:c r="H54" s="74" t="str">
        <x:v>Tinggi</x:v>
      </x:c>
      <x:c r="I54" s="74" t="str">
        <x:v>Titik proksi pusat lokaliti — bukan koordinat rasmi pusat mengundi</x:v>
      </x:c>
      <x:c r="J54" s="74" t="str">
        <x:v>Titik pusat lokaliti yang jelas; masih perlu semakan sempadan DUN sebelum routing lapangan.</x:v>
      </x:c>
      <x:c r="K54" s="74" t="str">
        <x:v>https://www.google.com/maps/search/?api=1&amp;query=Pekan+Benut%2C+Johor%2C+Malaysia</x:v>
      </x:c>
      <x:c r="L54" s="74" t="str">
        <x:v>https://www.spr.gov.my/sites/default/files/senarai-bahagian-pilihanraya-persekutuan-dan-negeri.pdf</x:v>
      </x:c>
      <x:c r="M54" s="74" t="str">
        <x:v>https://geoportal.johor.gov.my/petaawam/dun</x:v>
      </x:c>
    </x:row>
    <x:row r="55">
      <x:c r="A55" s="74" t="str">
        <x:v>Johor</x:v>
      </x:c>
      <x:c r="B55" s="74" t="str">
        <x:v>N.54</x:v>
      </x:c>
      <x:c r="C55" s="74" t="str">
        <x:v>Pulai Sebatang</x:v>
      </x:c>
      <x:c r="D55" s="74" t="str">
        <x:v>Pontian</x:v>
      </x:c>
      <x:c r="E55" s="74" t="str">
        <x:v>Pulai Sebatang</x:v>
      </x:c>
      <x:c r="F55" s="75" t="n">
        <x:v>1.495</x:v>
      </x:c>
      <x:c r="G55" s="75" t="n">
        <x:v>103.39</x:v>
      </x:c>
      <x:c r="H55" s="74" t="str">
        <x:v>Sederhana</x:v>
      </x:c>
      <x:c r="I55" s="74" t="str">
        <x:v>Titik proksi pusat lokaliti — bukan koordinat rasmi pusat mengundi</x:v>
      </x:c>
      <x:c r="J55" s="74" t="str">
        <x:v>Titik proksi operasi; semak dalam GeoJohor/Google Maps dan laraskan kepada pusat operasi sebenar.</x:v>
      </x:c>
      <x:c r="K55" s="74" t="str">
        <x:v>https://www.google.com/maps/search/?api=1&amp;query=Pulai+Sebatang%2C+Johor%2C+Malaysia</x:v>
      </x:c>
      <x:c r="L55" s="74" t="str">
        <x:v>https://www.spr.gov.my/sites/default/files/senarai-bahagian-pilihanraya-persekutuan-dan-negeri.pdf</x:v>
      </x:c>
      <x:c r="M55" s="74" t="str">
        <x:v>https://geoportal.johor.gov.my/petaawam/dun</x:v>
      </x:c>
    </x:row>
    <x:row r="56">
      <x:c r="A56" s="74" t="str">
        <x:v>Johor</x:v>
      </x:c>
      <x:c r="B56" s="74" t="str">
        <x:v>N.55</x:v>
      </x:c>
      <x:c r="C56" s="74" t="str">
        <x:v>Pekan Nanas</x:v>
      </x:c>
      <x:c r="D56" s="74" t="str">
        <x:v>Pontian</x:v>
      </x:c>
      <x:c r="E56" s="74" t="str">
        <x:v>Pekan Nanas</x:v>
      </x:c>
      <x:c r="F56" s="75" t="n">
        <x:v>1.514</x:v>
      </x:c>
      <x:c r="G56" s="75" t="n">
        <x:v>103.513</x:v>
      </x:c>
      <x:c r="H56" s="74" t="str">
        <x:v>Tinggi</x:v>
      </x:c>
      <x:c r="I56" s="74" t="str">
        <x:v>Titik proksi pusat lokaliti — bukan koordinat rasmi pusat mengundi</x:v>
      </x:c>
      <x:c r="J56" s="74" t="str">
        <x:v>Titik pusat lokaliti yang jelas; masih perlu semakan sempadan DUN sebelum routing lapangan.</x:v>
      </x:c>
      <x:c r="K56" s="74" t="str">
        <x:v>https://www.google.com/maps/search/?api=1&amp;query=Pekan+Nanas%2C+Johor%2C+Malaysia</x:v>
      </x:c>
      <x:c r="L56" s="74" t="str">
        <x:v>https://www.spr.gov.my/sites/default/files/senarai-bahagian-pilihanraya-persekutuan-dan-negeri.pdf</x:v>
      </x:c>
      <x:c r="M56" s="74" t="str">
        <x:v>https://geoportal.johor.gov.my/petaawam/dun</x:v>
      </x:c>
    </x:row>
    <x:row r="57">
      <x:c r="A57" s="74" t="str">
        <x:v>Johor</x:v>
      </x:c>
      <x:c r="B57" s="74" t="str">
        <x:v>N.56</x:v>
      </x:c>
      <x:c r="C57" s="74" t="str">
        <x:v>Kukup</x:v>
      </x:c>
      <x:c r="D57" s="74" t="str">
        <x:v>Pontian</x:v>
      </x:c>
      <x:c r="E57" s="74" t="str">
        <x:v>Pekan Kukup</x:v>
      </x:c>
      <x:c r="F57" s="75" t="n">
        <x:v>1.324</x:v>
      </x:c>
      <x:c r="G57" s="75" t="n">
        <x:v>103.444</x:v>
      </x:c>
      <x:c r="H57" s="74" t="str">
        <x:v>Tinggi</x:v>
      </x:c>
      <x:c r="I57" s="74" t="str">
        <x:v>Titik proksi pusat lokaliti — bukan koordinat rasmi pusat mengundi</x:v>
      </x:c>
      <x:c r="J57" s="74" t="str">
        <x:v>Titik pusat lokaliti yang jelas; masih perlu semakan sempadan DUN sebelum routing lapangan.</x:v>
      </x:c>
      <x:c r="K57" s="74" t="str">
        <x:v>https://www.google.com/maps/search/?api=1&amp;query=Pekan+Kukup%2C+Johor%2C+Malaysia</x:v>
      </x:c>
      <x:c r="L57" s="74" t="str">
        <x:v>https://www.spr.gov.my/sites/default/files/senarai-bahagian-pilihanraya-persekutuan-dan-negeri.pdf</x:v>
      </x:c>
      <x:c r="M57" s="74" t="str">
        <x:v>https://geoportal.johor.gov.my/petaawam/dun</x:v>
      </x:c>
    </x:row>
  </x:sheetData>
  <x:conditionalFormatting sqref="H2:H57">
    <x:cfRule type="expression" dxfId="0" priority="1">
      <x:formula>H2="Tinggi"</x:formula>
    </x:cfRule>
    <x:cfRule type="expression" dxfId="1" priority="2">
      <x:formula>H2="Sederhana"</x:formula>
    </x:cfRule>
    <x:cfRule type="expression" dxfId="2" priority="3">
      <x:formula>H2="Rendah"</x:formula>
    </x:cfRule>
  </x:conditionalFormatting>
  <x:dataValidations count="1">
    <x:dataValidation type="list" sqref="H2:H57">
      <x:formula1>"Tinggi,Sederhana,Rendah"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46b73d66a84d5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52" hidden="0" customWidth="1"/>
    <x:col min="4" max="4" width="50" hidden="0" customWidth="1"/>
  </x:cols>
  <x:sheetData>
    <x:row r="1">
      <x:c r="A1" s="78" t="str">
        <x:v>Kategori</x:v>
      </x:c>
      <x:c r="B1" s="78" t="str">
        <x:v>Sumber</x:v>
      </x:c>
      <x:c r="C1" s="78" t="str">
        <x:v>Kegunaan</x:v>
      </x:c>
      <x:c r="D1" s="78" t="str">
        <x:v>Catatan</x:v>
      </x:c>
    </x:row>
    <x:row r="2">
      <x:c r="A2" t="str">
        <x:v>Rasmi</x:v>
      </x:c>
      <x:c r="B2" t="str">
        <x:v>SPR Malaysia</x:v>
      </x:c>
      <x:c r="C2" t="str">
        <x:v>https://www.spr.gov.my/sites/default/files/senarai-bahagian-pilihanraya-persekutuan-dan-negeri.pdf</x:v>
      </x:c>
      <x:c r="D2" t="str">
        <x:v>Senarai/kod 56 kerusi DUN Johor.</x:v>
      </x:c>
    </x:row>
    <x:row r="3">
      <x:c r="A3" t="str">
        <x:v>Rasmi negeri</x:v>
      </x:c>
      <x:c r="B3" t="str">
        <x:v>GeoJohor</x:v>
      </x:c>
      <x:c r="C3" t="str">
        <x:v>https://geoportal.johor.gov.my/petaawam/dun</x:v>
      </x:c>
      <x:c r="D3" t="str">
        <x:v>Semakan layer dan sempadan DUN.</x:v>
      </x:c>
    </x:row>
    <x:row r="4">
      <x:c r="A4" t="str">
        <x:v>Rasmi statistik</x:v>
      </x:c>
      <x:c r="B4" t="str">
        <x:v>DOSM KAWASANKU</x:v>
      </x:c>
      <x:c r="C4" t="str">
        <x:v>https://open.dosm.gov.my/dashboard/kawasanku/Johor</x:v>
      </x:c>
      <x:c r="D4" t="str">
        <x:v>Semakan profil kawasan dan konteks DUN.</x:v>
      </x:c>
    </x:row>
    <x:row r="5">
      <x:c r="A5" t="str">
        <x:v>Kaedah</x:v>
      </x:c>
      <x:c r="B5" t="str">
        <x:v>Geocoding + QA GIS</x:v>
      </x:c>
      <x:c r="C5" t="str">
        <x:v>Alamat/lokaliti → WGS84</x:v>
      </x:c>
      <x:c r="D5" t="str">
        <x:v>Titik proksi perlu disahkan sebelum penggunaan taktikal.</x:v>
      </x:c>
    </x:row>
  </x:sheetData>
  <x:pageMargins left="0.7" right="0.7" top="0.75" bottom="0.75" header="0.3" footer="0.3"/>
</x:worksheet>
</file>