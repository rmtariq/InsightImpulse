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rdaus's surface\Downloads\"/>
    </mc:Choice>
  </mc:AlternateContent>
  <xr:revisionPtr revIDLastSave="0" documentId="13_ncr:1_{6D859CC8-CB5D-43F9-8421-A1D1E133495F}" xr6:coauthVersionLast="47" xr6:coauthVersionMax="47" xr10:uidLastSave="{00000000-0000-0000-0000-000000000000}"/>
  <bookViews>
    <workbookView xWindow="-110" yWindow="-110" windowWidth="22180" windowHeight="14140" tabRatio="746" xr2:uid="{C23F1638-F252-4299-B8CE-D8A2BAAA7701}"/>
  </bookViews>
  <sheets>
    <sheet name="Demogradi semua DUN" sheetId="1" r:id="rId1"/>
    <sheet name="Jelebu" sheetId="3" r:id="rId2"/>
    <sheet name="Jempol" sheetId="4" r:id="rId3"/>
    <sheet name="Seremban" sheetId="5" r:id="rId4"/>
    <sheet name="Kuala Pilah" sheetId="6" r:id="rId5"/>
    <sheet name="Rasah" sheetId="7" r:id="rId6"/>
    <sheet name="Rembau" sheetId="8" r:id="rId7"/>
    <sheet name="Port Dickson" sheetId="9" r:id="rId8"/>
    <sheet name="Tampin" sheetId="10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G3" i="1"/>
  <c r="H3" i="1"/>
  <c r="I3" i="1"/>
  <c r="J3" i="1"/>
  <c r="K3" i="1"/>
  <c r="L3" i="1"/>
  <c r="M3" i="1"/>
  <c r="N3" i="1"/>
  <c r="O3" i="1"/>
  <c r="P3" i="1"/>
  <c r="Q3" i="1"/>
  <c r="F4" i="1"/>
  <c r="G4" i="1"/>
  <c r="H4" i="1"/>
  <c r="I4" i="1"/>
  <c r="J4" i="1"/>
  <c r="K4" i="1"/>
  <c r="L4" i="1"/>
  <c r="M4" i="1"/>
  <c r="N4" i="1"/>
  <c r="O4" i="1"/>
  <c r="P4" i="1"/>
  <c r="Q4" i="1"/>
  <c r="F5" i="1"/>
  <c r="G5" i="1"/>
  <c r="H5" i="1"/>
  <c r="I5" i="1"/>
  <c r="J5" i="1"/>
  <c r="K5" i="1"/>
  <c r="L5" i="1"/>
  <c r="M5" i="1"/>
  <c r="N5" i="1"/>
  <c r="O5" i="1"/>
  <c r="P5" i="1"/>
  <c r="Q5" i="1"/>
  <c r="F6" i="1"/>
  <c r="G6" i="1"/>
  <c r="H6" i="1"/>
  <c r="I6" i="1"/>
  <c r="J6" i="1"/>
  <c r="K6" i="1"/>
  <c r="L6" i="1"/>
  <c r="M6" i="1"/>
  <c r="N6" i="1"/>
  <c r="O6" i="1"/>
  <c r="P6" i="1"/>
  <c r="Q6" i="1"/>
  <c r="F7" i="1"/>
  <c r="G7" i="1"/>
  <c r="H7" i="1"/>
  <c r="I7" i="1"/>
  <c r="J7" i="1"/>
  <c r="K7" i="1"/>
  <c r="L7" i="1"/>
  <c r="M7" i="1"/>
  <c r="N7" i="1"/>
  <c r="O7" i="1"/>
  <c r="P7" i="1"/>
  <c r="Q7" i="1"/>
  <c r="F8" i="1"/>
  <c r="G8" i="1"/>
  <c r="H8" i="1"/>
  <c r="I8" i="1"/>
  <c r="J8" i="1"/>
  <c r="K8" i="1"/>
  <c r="L8" i="1"/>
  <c r="M8" i="1"/>
  <c r="N8" i="1"/>
  <c r="O8" i="1"/>
  <c r="P8" i="1"/>
  <c r="Q8" i="1"/>
  <c r="F9" i="1"/>
  <c r="G9" i="1"/>
  <c r="H9" i="1"/>
  <c r="I9" i="1"/>
  <c r="J9" i="1"/>
  <c r="K9" i="1"/>
  <c r="L9" i="1"/>
  <c r="M9" i="1"/>
  <c r="N9" i="1"/>
  <c r="O9" i="1"/>
  <c r="P9" i="1"/>
  <c r="Q9" i="1"/>
  <c r="F10" i="1"/>
  <c r="G10" i="1"/>
  <c r="H10" i="1"/>
  <c r="I10" i="1"/>
  <c r="J10" i="1"/>
  <c r="K10" i="1"/>
  <c r="L10" i="1"/>
  <c r="M10" i="1"/>
  <c r="N10" i="1"/>
  <c r="O10" i="1"/>
  <c r="P10" i="1"/>
  <c r="Q10" i="1"/>
  <c r="F11" i="1"/>
  <c r="G11" i="1"/>
  <c r="H11" i="1"/>
  <c r="I11" i="1"/>
  <c r="J11" i="1"/>
  <c r="K11" i="1"/>
  <c r="L11" i="1"/>
  <c r="M11" i="1"/>
  <c r="N11" i="1"/>
  <c r="O11" i="1"/>
  <c r="P11" i="1"/>
  <c r="Q11" i="1"/>
  <c r="F12" i="1"/>
  <c r="G12" i="1"/>
  <c r="H12" i="1"/>
  <c r="I12" i="1"/>
  <c r="J12" i="1"/>
  <c r="K12" i="1"/>
  <c r="L12" i="1"/>
  <c r="M12" i="1"/>
  <c r="N12" i="1"/>
  <c r="O12" i="1"/>
  <c r="P12" i="1"/>
  <c r="Q12" i="1"/>
  <c r="F13" i="1"/>
  <c r="G13" i="1"/>
  <c r="H13" i="1"/>
  <c r="I13" i="1"/>
  <c r="J13" i="1"/>
  <c r="K13" i="1"/>
  <c r="L13" i="1"/>
  <c r="M13" i="1"/>
  <c r="N13" i="1"/>
  <c r="O13" i="1"/>
  <c r="P13" i="1"/>
  <c r="Q13" i="1"/>
  <c r="F14" i="1"/>
  <c r="G14" i="1"/>
  <c r="H14" i="1"/>
  <c r="I14" i="1"/>
  <c r="J14" i="1"/>
  <c r="K14" i="1"/>
  <c r="L14" i="1"/>
  <c r="M14" i="1"/>
  <c r="N14" i="1"/>
  <c r="O14" i="1"/>
  <c r="P14" i="1"/>
  <c r="Q14" i="1"/>
  <c r="F15" i="1"/>
  <c r="G15" i="1"/>
  <c r="H15" i="1"/>
  <c r="I15" i="1"/>
  <c r="J15" i="1"/>
  <c r="K15" i="1"/>
  <c r="L15" i="1"/>
  <c r="M15" i="1"/>
  <c r="N15" i="1"/>
  <c r="O15" i="1"/>
  <c r="P15" i="1"/>
  <c r="Q15" i="1"/>
  <c r="F16" i="1"/>
  <c r="G16" i="1"/>
  <c r="H16" i="1"/>
  <c r="I16" i="1"/>
  <c r="J16" i="1"/>
  <c r="K16" i="1"/>
  <c r="L16" i="1"/>
  <c r="M16" i="1"/>
  <c r="N16" i="1"/>
  <c r="O16" i="1"/>
  <c r="P16" i="1"/>
  <c r="Q16" i="1"/>
  <c r="F17" i="1"/>
  <c r="G17" i="1"/>
  <c r="H17" i="1"/>
  <c r="I17" i="1"/>
  <c r="J17" i="1"/>
  <c r="K17" i="1"/>
  <c r="L17" i="1"/>
  <c r="M17" i="1"/>
  <c r="N17" i="1"/>
  <c r="O17" i="1"/>
  <c r="P17" i="1"/>
  <c r="Q17" i="1"/>
  <c r="F18" i="1"/>
  <c r="G18" i="1"/>
  <c r="H18" i="1"/>
  <c r="I18" i="1"/>
  <c r="J18" i="1"/>
  <c r="K18" i="1"/>
  <c r="L18" i="1"/>
  <c r="M18" i="1"/>
  <c r="N18" i="1"/>
  <c r="O18" i="1"/>
  <c r="P18" i="1"/>
  <c r="Q18" i="1"/>
  <c r="F19" i="1"/>
  <c r="G19" i="1"/>
  <c r="H19" i="1"/>
  <c r="I19" i="1"/>
  <c r="J19" i="1"/>
  <c r="K19" i="1"/>
  <c r="L19" i="1"/>
  <c r="M19" i="1"/>
  <c r="N19" i="1"/>
  <c r="O19" i="1"/>
  <c r="P19" i="1"/>
  <c r="Q19" i="1"/>
  <c r="F20" i="1"/>
  <c r="G20" i="1"/>
  <c r="H20" i="1"/>
  <c r="I20" i="1"/>
  <c r="J20" i="1"/>
  <c r="K20" i="1"/>
  <c r="L20" i="1"/>
  <c r="M20" i="1"/>
  <c r="N20" i="1"/>
  <c r="O20" i="1"/>
  <c r="P20" i="1"/>
  <c r="Q20" i="1"/>
  <c r="F21" i="1"/>
  <c r="G21" i="1"/>
  <c r="H21" i="1"/>
  <c r="I21" i="1"/>
  <c r="J21" i="1"/>
  <c r="K21" i="1"/>
  <c r="L21" i="1"/>
  <c r="M21" i="1"/>
  <c r="N21" i="1"/>
  <c r="O21" i="1"/>
  <c r="P21" i="1"/>
  <c r="Q21" i="1"/>
  <c r="F22" i="1"/>
  <c r="G22" i="1"/>
  <c r="H22" i="1"/>
  <c r="I22" i="1"/>
  <c r="J22" i="1"/>
  <c r="K22" i="1"/>
  <c r="L22" i="1"/>
  <c r="M22" i="1"/>
  <c r="N22" i="1"/>
  <c r="O22" i="1"/>
  <c r="P22" i="1"/>
  <c r="Q22" i="1"/>
  <c r="F23" i="1"/>
  <c r="G23" i="1"/>
  <c r="H23" i="1"/>
  <c r="I23" i="1"/>
  <c r="J23" i="1"/>
  <c r="K23" i="1"/>
  <c r="L23" i="1"/>
  <c r="M23" i="1"/>
  <c r="N23" i="1"/>
  <c r="O23" i="1"/>
  <c r="P23" i="1"/>
  <c r="Q23" i="1"/>
  <c r="F24" i="1"/>
  <c r="G24" i="1"/>
  <c r="H24" i="1"/>
  <c r="I24" i="1"/>
  <c r="J24" i="1"/>
  <c r="K24" i="1"/>
  <c r="L24" i="1"/>
  <c r="M24" i="1"/>
  <c r="N24" i="1"/>
  <c r="O24" i="1"/>
  <c r="P24" i="1"/>
  <c r="Q24" i="1"/>
  <c r="F25" i="1"/>
  <c r="G25" i="1"/>
  <c r="H25" i="1"/>
  <c r="I25" i="1"/>
  <c r="J25" i="1"/>
  <c r="K25" i="1"/>
  <c r="L25" i="1"/>
  <c r="M25" i="1"/>
  <c r="N25" i="1"/>
  <c r="O25" i="1"/>
  <c r="P25" i="1"/>
  <c r="Q25" i="1"/>
  <c r="F26" i="1"/>
  <c r="G26" i="1"/>
  <c r="H26" i="1"/>
  <c r="I26" i="1"/>
  <c r="J26" i="1"/>
  <c r="K26" i="1"/>
  <c r="L26" i="1"/>
  <c r="M26" i="1"/>
  <c r="N26" i="1"/>
  <c r="O26" i="1"/>
  <c r="P26" i="1"/>
  <c r="Q26" i="1"/>
  <c r="F27" i="1"/>
  <c r="G27" i="1"/>
  <c r="H27" i="1"/>
  <c r="I27" i="1"/>
  <c r="J27" i="1"/>
  <c r="K27" i="1"/>
  <c r="L27" i="1"/>
  <c r="M27" i="1"/>
  <c r="N27" i="1"/>
  <c r="O27" i="1"/>
  <c r="P27" i="1"/>
  <c r="Q27" i="1"/>
  <c r="F28" i="1"/>
  <c r="G28" i="1"/>
  <c r="H28" i="1"/>
  <c r="I28" i="1"/>
  <c r="J28" i="1"/>
  <c r="K28" i="1"/>
  <c r="L28" i="1"/>
  <c r="M28" i="1"/>
  <c r="N28" i="1"/>
  <c r="O28" i="1"/>
  <c r="P28" i="1"/>
  <c r="Q28" i="1"/>
  <c r="F29" i="1"/>
  <c r="G29" i="1"/>
  <c r="H29" i="1"/>
  <c r="I29" i="1"/>
  <c r="J29" i="1"/>
  <c r="K29" i="1"/>
  <c r="L29" i="1"/>
  <c r="M29" i="1"/>
  <c r="N29" i="1"/>
  <c r="O29" i="1"/>
  <c r="P29" i="1"/>
  <c r="Q29" i="1"/>
  <c r="F30" i="1"/>
  <c r="G30" i="1"/>
  <c r="H30" i="1"/>
  <c r="I30" i="1"/>
  <c r="J30" i="1"/>
  <c r="K30" i="1"/>
  <c r="L30" i="1"/>
  <c r="M30" i="1"/>
  <c r="N30" i="1"/>
  <c r="O30" i="1"/>
  <c r="P30" i="1"/>
  <c r="Q30" i="1"/>
  <c r="F31" i="1"/>
  <c r="G31" i="1"/>
  <c r="H31" i="1"/>
  <c r="I31" i="1"/>
  <c r="J31" i="1"/>
  <c r="K31" i="1"/>
  <c r="L31" i="1"/>
  <c r="M31" i="1"/>
  <c r="N31" i="1"/>
  <c r="O31" i="1"/>
  <c r="P31" i="1"/>
  <c r="Q31" i="1"/>
  <c r="F32" i="1"/>
  <c r="G32" i="1"/>
  <c r="H32" i="1"/>
  <c r="I32" i="1"/>
  <c r="J32" i="1"/>
  <c r="K32" i="1"/>
  <c r="L32" i="1"/>
  <c r="M32" i="1"/>
  <c r="N32" i="1"/>
  <c r="O32" i="1"/>
  <c r="P32" i="1"/>
  <c r="Q32" i="1"/>
  <c r="F33" i="1"/>
  <c r="G33" i="1"/>
  <c r="H33" i="1"/>
  <c r="I33" i="1"/>
  <c r="J33" i="1"/>
  <c r="K33" i="1"/>
  <c r="L33" i="1"/>
  <c r="M33" i="1"/>
  <c r="N33" i="1"/>
  <c r="O33" i="1"/>
  <c r="P33" i="1"/>
  <c r="Q33" i="1"/>
  <c r="F34" i="1"/>
  <c r="G34" i="1"/>
  <c r="H34" i="1"/>
  <c r="I34" i="1"/>
  <c r="J34" i="1"/>
  <c r="K34" i="1"/>
  <c r="L34" i="1"/>
  <c r="M34" i="1"/>
  <c r="N34" i="1"/>
  <c r="O34" i="1"/>
  <c r="P34" i="1"/>
  <c r="Q34" i="1"/>
  <c r="F35" i="1"/>
  <c r="G35" i="1"/>
  <c r="H35" i="1"/>
  <c r="I35" i="1"/>
  <c r="J35" i="1"/>
  <c r="K35" i="1"/>
  <c r="L35" i="1"/>
  <c r="M35" i="1"/>
  <c r="N35" i="1"/>
  <c r="O35" i="1"/>
  <c r="P35" i="1"/>
  <c r="Q35" i="1"/>
  <c r="F36" i="1"/>
  <c r="G36" i="1"/>
  <c r="H36" i="1"/>
  <c r="I36" i="1"/>
  <c r="J36" i="1"/>
  <c r="K36" i="1"/>
  <c r="L36" i="1"/>
  <c r="M36" i="1"/>
  <c r="N36" i="1"/>
  <c r="O36" i="1"/>
  <c r="P36" i="1"/>
  <c r="Q36" i="1"/>
  <c r="F37" i="1"/>
  <c r="G37" i="1"/>
  <c r="H37" i="1"/>
  <c r="I37" i="1"/>
  <c r="J37" i="1"/>
  <c r="K37" i="1"/>
  <c r="L37" i="1"/>
  <c r="M37" i="1"/>
  <c r="N37" i="1"/>
  <c r="O37" i="1"/>
  <c r="P37" i="1"/>
  <c r="Q37" i="1"/>
  <c r="F38" i="1"/>
  <c r="G38" i="1"/>
  <c r="H38" i="1"/>
  <c r="I38" i="1"/>
  <c r="J38" i="1"/>
  <c r="K38" i="1"/>
  <c r="L38" i="1"/>
  <c r="M38" i="1"/>
  <c r="N38" i="1"/>
  <c r="O38" i="1"/>
  <c r="P38" i="1"/>
  <c r="Q38" i="1"/>
  <c r="E7" i="1" l="1"/>
  <c r="D7" i="1"/>
  <c r="C7" i="1"/>
  <c r="C15" i="1"/>
  <c r="D15" i="1"/>
  <c r="E15" i="1"/>
  <c r="C35" i="1"/>
  <c r="D35" i="1"/>
  <c r="E35" i="1"/>
  <c r="C36" i="1"/>
  <c r="D36" i="1"/>
  <c r="E36" i="1"/>
  <c r="E34" i="1"/>
  <c r="D34" i="1"/>
  <c r="C34" i="1"/>
  <c r="E23" i="1"/>
  <c r="D23" i="1"/>
  <c r="C23" i="1"/>
  <c r="C18" i="1"/>
  <c r="D18" i="1"/>
  <c r="E18" i="1"/>
  <c r="E22" i="1"/>
  <c r="D22" i="1"/>
  <c r="C22" i="1"/>
  <c r="E33" i="1"/>
  <c r="D33" i="1"/>
  <c r="C33" i="1"/>
  <c r="C12" i="1"/>
  <c r="D12" i="1"/>
  <c r="E12" i="1"/>
  <c r="E10" i="1"/>
  <c r="D10" i="1"/>
  <c r="C10" i="1"/>
  <c r="E11" i="1"/>
  <c r="D11" i="1"/>
  <c r="C11" i="1"/>
  <c r="C16" i="1"/>
  <c r="D16" i="1"/>
  <c r="E16" i="1"/>
  <c r="C14" i="1"/>
  <c r="D14" i="1"/>
  <c r="E14" i="1"/>
  <c r="C3" i="1"/>
  <c r="D3" i="1"/>
  <c r="E3" i="1"/>
  <c r="E17" i="1"/>
  <c r="D17" i="1"/>
  <c r="C17" i="1"/>
  <c r="C25" i="1"/>
  <c r="D25" i="1"/>
  <c r="E25" i="1"/>
  <c r="C9" i="1"/>
  <c r="D9" i="1"/>
  <c r="E9" i="1"/>
  <c r="C29" i="1"/>
  <c r="D29" i="1"/>
  <c r="E29" i="1"/>
  <c r="C4" i="1"/>
  <c r="D4" i="1"/>
  <c r="E4" i="1"/>
  <c r="C26" i="1"/>
  <c r="D26" i="1"/>
  <c r="E26" i="1"/>
  <c r="E13" i="1"/>
  <c r="D13" i="1"/>
  <c r="C13" i="1"/>
  <c r="E30" i="1"/>
  <c r="D30" i="1"/>
  <c r="C30" i="1"/>
  <c r="C32" i="1"/>
  <c r="D32" i="1"/>
  <c r="E32" i="1"/>
  <c r="E5" i="1"/>
  <c r="D5" i="1"/>
  <c r="C5" i="1"/>
  <c r="C24" i="1"/>
  <c r="D24" i="1"/>
  <c r="E24" i="1"/>
  <c r="C38" i="1"/>
  <c r="D38" i="1"/>
  <c r="E38" i="1"/>
  <c r="E6" i="1"/>
  <c r="D6" i="1"/>
  <c r="C6" i="1"/>
  <c r="C28" i="1"/>
  <c r="D28" i="1"/>
  <c r="E28" i="1"/>
  <c r="C27" i="1"/>
  <c r="D27" i="1"/>
  <c r="E27" i="1"/>
  <c r="C8" i="1"/>
  <c r="D8" i="1"/>
  <c r="E8" i="1"/>
  <c r="E31" i="1"/>
  <c r="D31" i="1"/>
  <c r="C31" i="1"/>
  <c r="C19" i="1"/>
  <c r="D19" i="1"/>
  <c r="E19" i="1"/>
  <c r="E21" i="1"/>
  <c r="D21" i="1"/>
  <c r="C21" i="1"/>
  <c r="E20" i="1"/>
  <c r="D20" i="1"/>
  <c r="C20" i="1"/>
  <c r="E37" i="1"/>
  <c r="D37" i="1"/>
  <c r="C37" i="1"/>
</calcChain>
</file>

<file path=xl/sharedStrings.xml><?xml version="1.0" encoding="utf-8"?>
<sst xmlns="http://schemas.openxmlformats.org/spreadsheetml/2006/main" count="2899" uniqueCount="113">
  <si>
    <t>Kod</t>
  </si>
  <si>
    <t>DUN</t>
  </si>
  <si>
    <t>Pengundi 
(DPI Dec 2025)</t>
  </si>
  <si>
    <t>Majoriti PRU15</t>
  </si>
  <si>
    <t>N25</t>
  </si>
  <si>
    <t>N31</t>
  </si>
  <si>
    <t>N34</t>
  </si>
  <si>
    <t>N20</t>
  </si>
  <si>
    <t>N05</t>
  </si>
  <si>
    <t>N15</t>
  </si>
  <si>
    <t>N28</t>
  </si>
  <si>
    <t>N14</t>
  </si>
  <si>
    <t>N16</t>
  </si>
  <si>
    <t>N03</t>
  </si>
  <si>
    <t>N06</t>
  </si>
  <si>
    <t>N04</t>
  </si>
  <si>
    <t>N17</t>
  </si>
  <si>
    <t>N09</t>
  </si>
  <si>
    <t>N07</t>
  </si>
  <si>
    <t>N18</t>
  </si>
  <si>
    <t>N32</t>
  </si>
  <si>
    <t>N19</t>
  </si>
  <si>
    <t>N01</t>
  </si>
  <si>
    <t>N35</t>
  </si>
  <si>
    <t>N13</t>
  </si>
  <si>
    <t>N02</t>
  </si>
  <si>
    <t>N12</t>
  </si>
  <si>
    <t>N33</t>
  </si>
  <si>
    <t>N26</t>
  </si>
  <si>
    <t>N36</t>
  </si>
  <si>
    <t>N29</t>
  </si>
  <si>
    <t>N22</t>
  </si>
  <si>
    <t>N08</t>
  </si>
  <si>
    <t>N30</t>
  </si>
  <si>
    <t>N27</t>
  </si>
  <si>
    <t>N10</t>
  </si>
  <si>
    <t>N24</t>
  </si>
  <si>
    <t>N11</t>
  </si>
  <si>
    <t>N23</t>
  </si>
  <si>
    <t>N21</t>
  </si>
  <si>
    <t>Perempuan</t>
  </si>
  <si>
    <t>Negeri</t>
  </si>
  <si>
    <t>:</t>
  </si>
  <si>
    <t>05 - NEGERI SEMBILAN</t>
  </si>
  <si>
    <t>Parlimen</t>
  </si>
  <si>
    <t>126 - JELEBU</t>
  </si>
  <si>
    <t>01 - CHENNAH</t>
  </si>
  <si>
    <t>Umur Pada</t>
  </si>
  <si>
    <t>Bil.</t>
  </si>
  <si>
    <t>Bangsa</t>
  </si>
  <si>
    <t>18-20 Thn</t>
  </si>
  <si>
    <t>21-25 Thn</t>
  </si>
  <si>
    <t>26-40 Thn</t>
  </si>
  <si>
    <t>41-60 Thn</t>
  </si>
  <si>
    <t>61-999 Thn</t>
  </si>
  <si>
    <t>Tak Diketahui</t>
  </si>
  <si>
    <t>Jumlah</t>
  </si>
  <si>
    <t>Lelaki</t>
  </si>
  <si>
    <t>Wanita</t>
  </si>
  <si>
    <t>Bil</t>
  </si>
  <si>
    <t>%</t>
  </si>
  <si>
    <t>M - MELAYU</t>
  </si>
  <si>
    <t>C - CINA</t>
  </si>
  <si>
    <t>I - INDIA</t>
  </si>
  <si>
    <t>L - LAIN-LAIN</t>
  </si>
  <si>
    <t>02 - PERTANG</t>
  </si>
  <si>
    <t>03 - SUNGAI LUI</t>
  </si>
  <si>
    <t>04 - KLAWANG</t>
  </si>
  <si>
    <t>127 - JEMPOL</t>
  </si>
  <si>
    <t>05 - SERTING</t>
  </si>
  <si>
    <t>06 - PALONG</t>
  </si>
  <si>
    <t>07 - JERAM PADANG</t>
  </si>
  <si>
    <t>08 - BAHAU</t>
  </si>
  <si>
    <t>128 - SEREMBAN</t>
  </si>
  <si>
    <t>09 - LENGGENG</t>
  </si>
  <si>
    <t>10 - NILAI</t>
  </si>
  <si>
    <t>11 - LOBAK</t>
  </si>
  <si>
    <t>12 - TEMIANG</t>
  </si>
  <si>
    <t>13 - SIKAMAT</t>
  </si>
  <si>
    <t>14 - AMPANGAN</t>
  </si>
  <si>
    <t>129 - KUALA PILAH</t>
  </si>
  <si>
    <t>15 - JUASSEH</t>
  </si>
  <si>
    <t>16 - SERI MENANTI</t>
  </si>
  <si>
    <t>17 - SENALING</t>
  </si>
  <si>
    <t>18 - PILAH</t>
  </si>
  <si>
    <t>19 - JOHOL</t>
  </si>
  <si>
    <t>130 - RASAH</t>
  </si>
  <si>
    <t>20 - LABU</t>
  </si>
  <si>
    <t>21 - BUKIT KEPAYANG</t>
  </si>
  <si>
    <t>22 - RAHANG</t>
  </si>
  <si>
    <t>23 - MAMBAU</t>
  </si>
  <si>
    <t>24 - SEREMBAN JAYA</t>
  </si>
  <si>
    <t>131 - REMBAU</t>
  </si>
  <si>
    <t>25 - PAROI</t>
  </si>
  <si>
    <t>26 - CHEMBONG</t>
  </si>
  <si>
    <t>27 - RANTAU</t>
  </si>
  <si>
    <t>28 - KOTA</t>
  </si>
  <si>
    <t>132 - PORT DICKSON</t>
  </si>
  <si>
    <t>29 - CHUAH</t>
  </si>
  <si>
    <t>30 - LUKUT</t>
  </si>
  <si>
    <t>31 - BAGAN PINANG</t>
  </si>
  <si>
    <t>32 - LINGGI</t>
  </si>
  <si>
    <t>33 - SRI TANJUNG</t>
  </si>
  <si>
    <t>133 - TAMPIN</t>
  </si>
  <si>
    <t>34 - GEMAS</t>
  </si>
  <si>
    <t>35 - GEMENCHEH</t>
  </si>
  <si>
    <t>36 - REPAH</t>
  </si>
  <si>
    <t>MELAYU</t>
  </si>
  <si>
    <t>CINA</t>
  </si>
  <si>
    <t>LAIN-LAIN</t>
  </si>
  <si>
    <t>Jantina</t>
  </si>
  <si>
    <t>Umur (Umur pada 11/6/2026)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</si>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</sst>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#,##0;\(#,##0\);&quot;–&quot;"/>
  </numFmts>
  <fonts count="1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sz val="8"/>
      <color rgb="FF000000"/>
      <name val="Verdana"/>
      <family val="2"/>
    </font>
    <font>
      <b/>
      <sz val="8"/>
      <color rgb="FF006666"/>
      <name val="Verdana"/>
      <family val="2"/>
    </font>
    <font>
      <b/>
      <sz val="8"/>
      <color rgb="FF000000"/>
      <name val="Verdana"/>
      <family val="2"/>
    </font>
    <font>
      <b/>
      <sz val="11"/>
      <color rgb="FFFFFFFF"/>
      <name val="Aptos Narrow"/>
      <family val="2"/>
      <scheme val="minor"/>
    </font>
    <font>
      <sz val="11"/>
      <name val="Aptos Narrow"/>
      <scheme val="minor"/>
    </font>
    <font>
      <sz val="11"/>
      <color rgb="FF008000"/>
      <name val="Aptos Narrow"/>
      <scheme val="minor"/>
    </font>
    <font>
      <sz val="11"/>
      <color rgb="FFFF0000"/>
      <name val="Aptos Narrow"/>
      <scheme val="minor"/>
    </font>
    <font>
      <sz val="11"/>
      <color rgb="FF000000"/>
      <name val="Aptos Narrow"/>
    </font>
    <font>
      <sz val="11"/>
      <color rgb="FF000000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18380"/>
        <bgColor indexed="64"/>
      </patternFill>
    </fill>
    <fill>
      <patternFill patternType="solid">
        <fgColor rgb="FF31A8A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D9F0E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40404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rgb="FF404040"/>
      </right>
      <top style="thin">
        <color rgb="FFD9D9D9"/>
      </top>
      <bottom style="thin">
        <color rgb="FFD9D9D9"/>
      </bottom>
      <diagonal/>
    </border>
    <border>
      <left style="medium">
        <color rgb="FF404040"/>
      </left>
      <right style="thin">
        <color rgb="FFD9D9D9"/>
      </right>
      <top style="thin">
        <color rgb="FFD9D9D9"/>
      </top>
      <bottom style="medium">
        <color rgb="FF40404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404040"/>
      </bottom>
      <diagonal/>
    </border>
    <border>
      <left style="thin">
        <color rgb="FFD9D9D9"/>
      </left>
      <right style="medium">
        <color rgb="FF404040"/>
      </right>
      <top style="thin">
        <color rgb="FFD9D9D9"/>
      </top>
      <bottom style="medium">
        <color rgb="FF404040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medium">
        <color rgb="FF404040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medium">
        <color rgb="FF404040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medium">
        <color rgb="FF404040"/>
      </bottom>
      <diagonal/>
    </border>
    <border>
      <left style="medium">
        <color rgb="FF404040"/>
      </left>
      <right style="thin">
        <color rgb="FFD9D9D9"/>
      </right>
      <top style="medium">
        <color rgb="FF404040"/>
      </top>
      <bottom/>
      <diagonal/>
    </border>
    <border>
      <left style="thin">
        <color rgb="FFD9D9D9"/>
      </left>
      <right style="thin">
        <color rgb="FFD9D9D9"/>
      </right>
      <top style="medium">
        <color rgb="FF404040"/>
      </top>
      <bottom/>
      <diagonal/>
    </border>
    <border>
      <left style="thin">
        <color rgb="FFD9D9D9"/>
      </left>
      <right/>
      <top style="medium">
        <color rgb="FF404040"/>
      </top>
      <bottom/>
      <diagonal/>
    </border>
    <border>
      <left style="thin">
        <color rgb="FFD9D9D9"/>
      </left>
      <right style="medium">
        <color rgb="FF404040"/>
      </right>
      <top style="medium">
        <color rgb="FF404040"/>
      </top>
      <bottom/>
      <diagonal/>
    </border>
    <border>
      <left/>
      <right/>
      <top style="medium">
        <color rgb="FF404040"/>
      </top>
      <bottom/>
      <diagonal/>
    </border>
    <border>
      <left/>
      <right style="thin">
        <color rgb="FFD9D9D9"/>
      </right>
      <top style="medium">
        <color rgb="FF404040"/>
      </top>
      <bottom/>
      <diagonal/>
    </border>
    <border>
      <left style="medium">
        <color rgb="FF404040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 style="medium">
        <color rgb="FF404040"/>
      </right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left" vertical="center"/>
    </xf>
    <xf numFmtId="165" fontId="10" fillId="13" borderId="10" xfId="0" applyNumberFormat="1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left" vertical="center"/>
    </xf>
    <xf numFmtId="3" fontId="8" fillId="4" borderId="15" xfId="0" applyNumberFormat="1" applyFont="1" applyFill="1" applyBorder="1" applyAlignment="1">
      <alignment horizontal="center" vertical="center"/>
    </xf>
    <xf numFmtId="3" fontId="8" fillId="4" borderId="16" xfId="0" applyNumberFormat="1" applyFont="1" applyFill="1" applyBorder="1" applyAlignment="1">
      <alignment horizontal="center" vertical="center"/>
    </xf>
    <xf numFmtId="164" fontId="9" fillId="4" borderId="11" xfId="0" applyNumberFormat="1" applyFont="1" applyFill="1" applyBorder="1" applyAlignment="1">
      <alignment horizontal="center" vertical="center"/>
    </xf>
    <xf numFmtId="164" fontId="7" fillId="4" borderId="11" xfId="0" applyNumberFormat="1" applyFont="1" applyFill="1" applyBorder="1" applyAlignment="1">
      <alignment horizontal="center" vertical="center"/>
    </xf>
    <xf numFmtId="164" fontId="9" fillId="4" borderId="14" xfId="0" applyNumberFormat="1" applyFont="1" applyFill="1" applyBorder="1" applyAlignment="1">
      <alignment horizontal="center" vertical="center"/>
    </xf>
    <xf numFmtId="0" fontId="11" fillId="4" borderId="27" xfId="0" applyFont="1" applyFill="1" applyBorder="1" applyAlignment="1">
      <alignment horizontal="center" vertical="center"/>
    </xf>
    <xf numFmtId="0" fontId="11" fillId="4" borderId="28" xfId="0" applyFont="1" applyFill="1" applyBorder="1" applyAlignment="1">
      <alignment horizontal="left" vertical="center"/>
    </xf>
    <xf numFmtId="3" fontId="8" fillId="4" borderId="29" xfId="0" applyNumberFormat="1" applyFont="1" applyFill="1" applyBorder="1" applyAlignment="1">
      <alignment horizontal="center" vertical="center"/>
    </xf>
    <xf numFmtId="164" fontId="9" fillId="4" borderId="30" xfId="0" applyNumberFormat="1" applyFont="1" applyFill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8" borderId="18" xfId="0" applyFont="1" applyFill="1" applyBorder="1" applyAlignment="1">
      <alignment horizontal="center" vertical="center" wrapText="1"/>
    </xf>
    <xf numFmtId="0" fontId="6" fillId="8" borderId="13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6" fillId="8" borderId="14" xfId="0" applyFont="1" applyFill="1" applyBorder="1" applyAlignment="1">
      <alignment horizontal="center" vertical="center" wrapText="1"/>
    </xf>
    <xf numFmtId="0" fontId="6" fillId="10" borderId="18" xfId="0" applyFont="1" applyFill="1" applyBorder="1" applyAlignment="1">
      <alignment horizontal="center" vertical="center" wrapText="1"/>
    </xf>
    <xf numFmtId="0" fontId="6" fillId="10" borderId="13" xfId="0" applyFont="1" applyFill="1" applyBorder="1" applyAlignment="1">
      <alignment horizontal="center" vertical="center" wrapText="1"/>
    </xf>
    <xf numFmtId="0" fontId="6" fillId="10" borderId="16" xfId="0" applyFont="1" applyFill="1" applyBorder="1" applyAlignment="1">
      <alignment horizontal="center" vertical="center" wrapText="1"/>
    </xf>
    <xf numFmtId="0" fontId="6" fillId="10" borderId="14" xfId="0" applyFont="1" applyFill="1" applyBorder="1" applyAlignment="1">
      <alignment horizontal="center" vertical="center" wrapText="1"/>
    </xf>
    <xf numFmtId="165" fontId="11" fillId="11" borderId="31" xfId="0" applyNumberFormat="1" applyFont="1" applyFill="1" applyBorder="1" applyAlignment="1">
      <alignment horizontal="center" vertical="center"/>
    </xf>
    <xf numFmtId="165" fontId="11" fillId="11" borderId="30" xfId="0" applyNumberFormat="1" applyFont="1" applyFill="1" applyBorder="1" applyAlignment="1">
      <alignment horizontal="center" vertical="center"/>
    </xf>
    <xf numFmtId="165" fontId="11" fillId="12" borderId="32" xfId="0" applyNumberFormat="1" applyFont="1" applyFill="1" applyBorder="1" applyAlignment="1">
      <alignment horizontal="center" vertical="center"/>
    </xf>
    <xf numFmtId="165" fontId="11" fillId="12" borderId="28" xfId="0" applyNumberFormat="1" applyFont="1" applyFill="1" applyBorder="1" applyAlignment="1">
      <alignment horizontal="center" vertical="center"/>
    </xf>
    <xf numFmtId="165" fontId="11" fillId="12" borderId="29" xfId="0" applyNumberFormat="1" applyFont="1" applyFill="1" applyBorder="1" applyAlignment="1">
      <alignment horizontal="center" vertical="center"/>
    </xf>
    <xf numFmtId="165" fontId="11" fillId="12" borderId="30" xfId="0" applyNumberFormat="1" applyFont="1" applyFill="1" applyBorder="1" applyAlignment="1">
      <alignment horizontal="center" vertical="center"/>
    </xf>
    <xf numFmtId="165" fontId="11" fillId="13" borderId="32" xfId="0" applyNumberFormat="1" applyFont="1" applyFill="1" applyBorder="1" applyAlignment="1">
      <alignment horizontal="center" vertical="center"/>
    </xf>
    <xf numFmtId="165" fontId="11" fillId="13" borderId="28" xfId="0" applyNumberFormat="1" applyFont="1" applyFill="1" applyBorder="1" applyAlignment="1">
      <alignment horizontal="center" vertical="center"/>
    </xf>
    <xf numFmtId="165" fontId="11" fillId="13" borderId="29" xfId="0" applyNumberFormat="1" applyFont="1" applyFill="1" applyBorder="1" applyAlignment="1">
      <alignment horizontal="center" vertical="center"/>
    </xf>
    <xf numFmtId="165" fontId="11" fillId="13" borderId="30" xfId="0" applyNumberFormat="1" applyFont="1" applyFill="1" applyBorder="1" applyAlignment="1">
      <alignment horizontal="center" vertical="center"/>
    </xf>
    <xf numFmtId="165" fontId="11" fillId="11" borderId="19" xfId="0" applyNumberFormat="1" applyFont="1" applyFill="1" applyBorder="1" applyAlignment="1">
      <alignment horizontal="center" vertical="center"/>
    </xf>
    <xf numFmtId="165" fontId="11" fillId="11" borderId="11" xfId="0" applyNumberFormat="1" applyFont="1" applyFill="1" applyBorder="1" applyAlignment="1">
      <alignment horizontal="center" vertical="center"/>
    </xf>
    <xf numFmtId="165" fontId="11" fillId="12" borderId="17" xfId="0" applyNumberFormat="1" applyFont="1" applyFill="1" applyBorder="1" applyAlignment="1">
      <alignment horizontal="center" vertical="center"/>
    </xf>
    <xf numFmtId="165" fontId="11" fillId="12" borderId="10" xfId="0" applyNumberFormat="1" applyFont="1" applyFill="1" applyBorder="1" applyAlignment="1">
      <alignment horizontal="center" vertical="center"/>
    </xf>
    <xf numFmtId="165" fontId="11" fillId="12" borderId="15" xfId="0" applyNumberFormat="1" applyFont="1" applyFill="1" applyBorder="1" applyAlignment="1">
      <alignment horizontal="center" vertical="center"/>
    </xf>
    <xf numFmtId="165" fontId="11" fillId="12" borderId="11" xfId="0" applyNumberFormat="1" applyFont="1" applyFill="1" applyBorder="1" applyAlignment="1">
      <alignment horizontal="center" vertical="center"/>
    </xf>
    <xf numFmtId="165" fontId="11" fillId="13" borderId="17" xfId="0" applyNumberFormat="1" applyFont="1" applyFill="1" applyBorder="1" applyAlignment="1">
      <alignment horizontal="center" vertical="center"/>
    </xf>
    <xf numFmtId="165" fontId="11" fillId="13" borderId="10" xfId="0" applyNumberFormat="1" applyFont="1" applyFill="1" applyBorder="1" applyAlignment="1">
      <alignment horizontal="center" vertical="center"/>
    </xf>
    <xf numFmtId="165" fontId="11" fillId="13" borderId="15" xfId="0" applyNumberFormat="1" applyFont="1" applyFill="1" applyBorder="1" applyAlignment="1">
      <alignment horizontal="center" vertical="center"/>
    </xf>
    <xf numFmtId="165" fontId="11" fillId="13" borderId="11" xfId="0" applyNumberFormat="1" applyFont="1" applyFill="1" applyBorder="1" applyAlignment="1">
      <alignment horizontal="center" vertical="center"/>
    </xf>
    <xf numFmtId="165" fontId="11" fillId="11" borderId="20" xfId="0" applyNumberFormat="1" applyFont="1" applyFill="1" applyBorder="1" applyAlignment="1">
      <alignment horizontal="center" vertical="center"/>
    </xf>
    <xf numFmtId="165" fontId="11" fillId="11" borderId="14" xfId="0" applyNumberFormat="1" applyFont="1" applyFill="1" applyBorder="1" applyAlignment="1">
      <alignment horizontal="center" vertical="center"/>
    </xf>
    <xf numFmtId="165" fontId="11" fillId="12" borderId="18" xfId="0" applyNumberFormat="1" applyFont="1" applyFill="1" applyBorder="1" applyAlignment="1">
      <alignment horizontal="center" vertical="center"/>
    </xf>
    <xf numFmtId="165" fontId="11" fillId="12" borderId="13" xfId="0" applyNumberFormat="1" applyFont="1" applyFill="1" applyBorder="1" applyAlignment="1">
      <alignment horizontal="center" vertical="center"/>
    </xf>
    <xf numFmtId="165" fontId="11" fillId="12" borderId="16" xfId="0" applyNumberFormat="1" applyFont="1" applyFill="1" applyBorder="1" applyAlignment="1">
      <alignment horizontal="center" vertical="center"/>
    </xf>
    <xf numFmtId="165" fontId="11" fillId="12" borderId="14" xfId="0" applyNumberFormat="1" applyFont="1" applyFill="1" applyBorder="1" applyAlignment="1">
      <alignment horizontal="center" vertical="center"/>
    </xf>
    <xf numFmtId="165" fontId="11" fillId="13" borderId="18" xfId="0" applyNumberFormat="1" applyFont="1" applyFill="1" applyBorder="1" applyAlignment="1">
      <alignment horizontal="center" vertical="center"/>
    </xf>
    <xf numFmtId="165" fontId="11" fillId="13" borderId="13" xfId="0" applyNumberFormat="1" applyFont="1" applyFill="1" applyBorder="1" applyAlignment="1">
      <alignment horizontal="center" vertical="center"/>
    </xf>
    <xf numFmtId="165" fontId="11" fillId="13" borderId="16" xfId="0" applyNumberFormat="1" applyFont="1" applyFill="1" applyBorder="1" applyAlignment="1">
      <alignment horizontal="center" vertical="center"/>
    </xf>
    <xf numFmtId="165" fontId="11" fillId="13" borderId="14" xfId="0" applyNumberFormat="1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0" fontId="6" fillId="7" borderId="22" xfId="0" applyFont="1" applyFill="1" applyBorder="1" applyAlignment="1">
      <alignment horizontal="center" vertical="center" wrapText="1"/>
    </xf>
    <xf numFmtId="0" fontId="6" fillId="7" borderId="23" xfId="0" applyFont="1" applyFill="1" applyBorder="1" applyAlignment="1">
      <alignment horizontal="center" vertical="center" wrapText="1"/>
    </xf>
    <xf numFmtId="0" fontId="6" fillId="7" borderId="24" xfId="0" applyFont="1" applyFill="1" applyBorder="1" applyAlignment="1">
      <alignment horizontal="center" vertical="center" wrapText="1"/>
    </xf>
    <xf numFmtId="0" fontId="6" fillId="9" borderId="26" xfId="0" applyFont="1" applyFill="1" applyBorder="1" applyAlignment="1">
      <alignment horizontal="center" vertical="center" wrapText="1"/>
    </xf>
    <xf numFmtId="0" fontId="6" fillId="9" borderId="22" xfId="0" applyFont="1" applyFill="1" applyBorder="1" applyAlignment="1">
      <alignment horizontal="center" vertical="center" wrapText="1"/>
    </xf>
    <xf numFmtId="0" fontId="6" fillId="9" borderId="23" xfId="0" applyFont="1" applyFill="1" applyBorder="1" applyAlignment="1">
      <alignment horizontal="center" vertical="center" wrapText="1"/>
    </xf>
    <xf numFmtId="0" fontId="6" fillId="9" borderId="24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b814a4cd640704d/Dataraya/Perbincangan%20kerusi%20DUN%20N9/Data%20meeting%205%20Jun%202026.xlsx" TargetMode="External"/><Relationship Id="rId1" Type="http://schemas.openxmlformats.org/officeDocument/2006/relationships/externalLinkPath" Target="https://d.docs.live.net/8b814a4cd640704d/Dataraya/Perbincangan%20kerusi%20DUN%20N9/Data%20meeting%205%20Jun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 Jun"/>
      <sheetName val="(1) Majoriti"/>
      <sheetName val="(2) Pengundi &amp; % Melayu"/>
      <sheetName val="(3) SKT 51%"/>
      <sheetName val="(4) BKC vs modal PRU15"/>
      <sheetName val="(5) Cula"/>
      <sheetName val="(6) Perbezaan pengundi"/>
      <sheetName val="(7) Cula vs SKT"/>
    </sheetNames>
    <sheetDataSet>
      <sheetData sheetId="0"/>
      <sheetData sheetId="1">
        <row r="4">
          <cell r="B4" t="str">
            <v>N25</v>
          </cell>
          <cell r="I4">
            <v>5539</v>
          </cell>
        </row>
        <row r="5">
          <cell r="B5" t="str">
            <v>N31</v>
          </cell>
          <cell r="I5">
            <v>3426</v>
          </cell>
        </row>
        <row r="6">
          <cell r="B6" t="str">
            <v>N34</v>
          </cell>
          <cell r="I6">
            <v>3120</v>
          </cell>
        </row>
        <row r="7">
          <cell r="B7" t="str">
            <v>N20</v>
          </cell>
          <cell r="I7">
            <v>1640</v>
          </cell>
        </row>
        <row r="8">
          <cell r="B8" t="str">
            <v>N05</v>
          </cell>
          <cell r="I8">
            <v>843</v>
          </cell>
        </row>
        <row r="9">
          <cell r="B9" t="str">
            <v>N15</v>
          </cell>
          <cell r="I9">
            <v>-78</v>
          </cell>
        </row>
        <row r="10">
          <cell r="B10" t="str">
            <v>N28</v>
          </cell>
          <cell r="I10">
            <v>-135</v>
          </cell>
        </row>
        <row r="11">
          <cell r="B11" t="str">
            <v>N14</v>
          </cell>
          <cell r="I11">
            <v>-329</v>
          </cell>
        </row>
        <row r="12">
          <cell r="B12" t="str">
            <v>N16</v>
          </cell>
          <cell r="I12">
            <v>-370</v>
          </cell>
        </row>
        <row r="13">
          <cell r="B13" t="str">
            <v>N03</v>
          </cell>
          <cell r="I13">
            <v>-535</v>
          </cell>
        </row>
        <row r="14">
          <cell r="B14" t="str">
            <v>N06</v>
          </cell>
          <cell r="I14">
            <v>-564</v>
          </cell>
        </row>
        <row r="15">
          <cell r="B15" t="str">
            <v>N04</v>
          </cell>
          <cell r="I15">
            <v>-577</v>
          </cell>
        </row>
        <row r="16">
          <cell r="B16" t="str">
            <v>N17</v>
          </cell>
          <cell r="I16">
            <v>-662</v>
          </cell>
        </row>
        <row r="17">
          <cell r="B17" t="str">
            <v>N09</v>
          </cell>
          <cell r="I17">
            <v>-685</v>
          </cell>
        </row>
        <row r="18">
          <cell r="B18" t="str">
            <v>N07</v>
          </cell>
          <cell r="I18">
            <v>-693</v>
          </cell>
        </row>
        <row r="19">
          <cell r="B19" t="str">
            <v>N18</v>
          </cell>
          <cell r="I19">
            <v>-1079</v>
          </cell>
        </row>
        <row r="20">
          <cell r="B20" t="str">
            <v>N32</v>
          </cell>
          <cell r="I20">
            <v>-1461</v>
          </cell>
        </row>
        <row r="21">
          <cell r="B21" t="str">
            <v>N19</v>
          </cell>
          <cell r="I21">
            <v>-2117</v>
          </cell>
        </row>
        <row r="22">
          <cell r="B22" t="str">
            <v>N01</v>
          </cell>
          <cell r="I22">
            <v>-2200</v>
          </cell>
        </row>
        <row r="23">
          <cell r="B23" t="str">
            <v>N35</v>
          </cell>
          <cell r="I23">
            <v>-2434</v>
          </cell>
        </row>
        <row r="24">
          <cell r="B24" t="str">
            <v>N13</v>
          </cell>
          <cell r="I24">
            <v>-2662</v>
          </cell>
        </row>
        <row r="25">
          <cell r="B25" t="str">
            <v>N02</v>
          </cell>
          <cell r="I25">
            <v>-2790</v>
          </cell>
        </row>
        <row r="26">
          <cell r="B26" t="str">
            <v>N12</v>
          </cell>
          <cell r="I26">
            <v>-3068</v>
          </cell>
        </row>
        <row r="27">
          <cell r="B27" t="str">
            <v>N33</v>
          </cell>
          <cell r="I27">
            <v>-3996</v>
          </cell>
        </row>
        <row r="28">
          <cell r="B28" t="str">
            <v>N26</v>
          </cell>
          <cell r="I28">
            <v>-4335</v>
          </cell>
        </row>
        <row r="29">
          <cell r="B29" t="str">
            <v>N36</v>
          </cell>
          <cell r="I29">
            <v>-5950</v>
          </cell>
        </row>
        <row r="30">
          <cell r="B30" t="str">
            <v>N29</v>
          </cell>
          <cell r="I30">
            <v>-6298</v>
          </cell>
        </row>
        <row r="31">
          <cell r="B31" t="str">
            <v>N22</v>
          </cell>
          <cell r="I31">
            <v>-6432</v>
          </cell>
        </row>
        <row r="32">
          <cell r="B32" t="str">
            <v>N08</v>
          </cell>
          <cell r="I32">
            <v>-8408</v>
          </cell>
        </row>
        <row r="33">
          <cell r="B33" t="str">
            <v>N30</v>
          </cell>
          <cell r="I33">
            <v>-10135</v>
          </cell>
        </row>
        <row r="34">
          <cell r="B34" t="str">
            <v>N27</v>
          </cell>
          <cell r="I34">
            <v>-10280</v>
          </cell>
        </row>
        <row r="35">
          <cell r="B35" t="str">
            <v>N10</v>
          </cell>
          <cell r="I35">
            <v>-10889</v>
          </cell>
        </row>
        <row r="36">
          <cell r="B36" t="str">
            <v>N24</v>
          </cell>
          <cell r="I36">
            <v>-12703</v>
          </cell>
        </row>
        <row r="37">
          <cell r="B37" t="str">
            <v>N11</v>
          </cell>
          <cell r="I37">
            <v>-13504</v>
          </cell>
        </row>
        <row r="38">
          <cell r="B38" t="str">
            <v>N23</v>
          </cell>
          <cell r="I38">
            <v>-14940</v>
          </cell>
        </row>
        <row r="39">
          <cell r="B39" t="str">
            <v>N21</v>
          </cell>
          <cell r="I39">
            <v>-19684</v>
          </cell>
        </row>
      </sheetData>
      <sheetData sheetId="2">
        <row r="5">
          <cell r="B5" t="str">
            <v>N01</v>
          </cell>
          <cell r="C5" t="str">
            <v>Chennah</v>
          </cell>
          <cell r="D5">
            <v>14427</v>
          </cell>
        </row>
        <row r="6">
          <cell r="B6" t="str">
            <v>N02</v>
          </cell>
          <cell r="C6" t="str">
            <v>Pertang</v>
          </cell>
          <cell r="D6">
            <v>12880</v>
          </cell>
        </row>
        <row r="7">
          <cell r="B7" t="str">
            <v>N03</v>
          </cell>
          <cell r="C7" t="str">
            <v>Sungai Lui</v>
          </cell>
          <cell r="D7">
            <v>19711</v>
          </cell>
        </row>
        <row r="8">
          <cell r="B8" t="str">
            <v>N04</v>
          </cell>
          <cell r="C8" t="str">
            <v>Klawang</v>
          </cell>
          <cell r="D8">
            <v>13329</v>
          </cell>
        </row>
        <row r="9">
          <cell r="B9" t="str">
            <v>N05</v>
          </cell>
          <cell r="C9" t="str">
            <v>Serting</v>
          </cell>
          <cell r="D9">
            <v>30593</v>
          </cell>
        </row>
        <row r="10">
          <cell r="B10" t="str">
            <v>N06</v>
          </cell>
          <cell r="C10" t="str">
            <v>Palong</v>
          </cell>
          <cell r="D10">
            <v>23548</v>
          </cell>
        </row>
        <row r="11">
          <cell r="B11" t="str">
            <v>N07</v>
          </cell>
          <cell r="C11" t="str">
            <v>Jeram Padang</v>
          </cell>
          <cell r="D11">
            <v>16539</v>
          </cell>
        </row>
        <row r="12">
          <cell r="B12" t="str">
            <v>N08</v>
          </cell>
          <cell r="C12" t="str">
            <v>Bahau</v>
          </cell>
          <cell r="D12">
            <v>25951</v>
          </cell>
        </row>
        <row r="13">
          <cell r="B13" t="str">
            <v>N09</v>
          </cell>
          <cell r="C13" t="str">
            <v>Lenggeng</v>
          </cell>
          <cell r="D13">
            <v>28671</v>
          </cell>
        </row>
        <row r="14">
          <cell r="B14" t="str">
            <v>N10</v>
          </cell>
          <cell r="C14" t="str">
            <v>Nilai</v>
          </cell>
          <cell r="D14">
            <v>45487</v>
          </cell>
        </row>
        <row r="15">
          <cell r="B15" t="str">
            <v>N11</v>
          </cell>
          <cell r="C15" t="str">
            <v>Lobak</v>
          </cell>
          <cell r="D15">
            <v>23141</v>
          </cell>
        </row>
        <row r="16">
          <cell r="B16" t="str">
            <v>N12</v>
          </cell>
          <cell r="C16" t="str">
            <v>Temiang</v>
          </cell>
          <cell r="D16">
            <v>12975</v>
          </cell>
        </row>
        <row r="17">
          <cell r="B17" t="str">
            <v>N13</v>
          </cell>
          <cell r="C17" t="str">
            <v>Sikamat</v>
          </cell>
          <cell r="D17">
            <v>33885</v>
          </cell>
        </row>
        <row r="18">
          <cell r="B18" t="str">
            <v>N14</v>
          </cell>
          <cell r="C18" t="str">
            <v>Ampangan</v>
          </cell>
          <cell r="D18">
            <v>21338</v>
          </cell>
        </row>
        <row r="19">
          <cell r="B19" t="str">
            <v>N15</v>
          </cell>
          <cell r="C19" t="str">
            <v>Juasseh</v>
          </cell>
          <cell r="D19">
            <v>13669</v>
          </cell>
        </row>
        <row r="20">
          <cell r="B20" t="str">
            <v>N16</v>
          </cell>
          <cell r="C20" t="str">
            <v>Seri Menanti</v>
          </cell>
          <cell r="D20">
            <v>10100</v>
          </cell>
        </row>
        <row r="21">
          <cell r="B21" t="str">
            <v>N17</v>
          </cell>
          <cell r="C21" t="str">
            <v>Senaling</v>
          </cell>
          <cell r="D21">
            <v>9914</v>
          </cell>
        </row>
        <row r="22">
          <cell r="B22" t="str">
            <v>N18</v>
          </cell>
          <cell r="C22" t="str">
            <v>Pilah</v>
          </cell>
          <cell r="D22">
            <v>17963</v>
          </cell>
        </row>
        <row r="23">
          <cell r="B23" t="str">
            <v>N19</v>
          </cell>
          <cell r="C23" t="str">
            <v>Johol</v>
          </cell>
          <cell r="D23">
            <v>12359</v>
          </cell>
        </row>
        <row r="24">
          <cell r="B24" t="str">
            <v>N20</v>
          </cell>
          <cell r="C24" t="str">
            <v>Labu</v>
          </cell>
          <cell r="D24">
            <v>32575</v>
          </cell>
        </row>
        <row r="25">
          <cell r="B25" t="str">
            <v>N21</v>
          </cell>
          <cell r="C25" t="str">
            <v>Bukit Kepayang</v>
          </cell>
          <cell r="D25">
            <v>49248</v>
          </cell>
        </row>
        <row r="26">
          <cell r="B26" t="str">
            <v>N22</v>
          </cell>
          <cell r="C26" t="str">
            <v>Rahang</v>
          </cell>
          <cell r="D26">
            <v>19608</v>
          </cell>
        </row>
        <row r="27">
          <cell r="B27" t="str">
            <v>N23</v>
          </cell>
          <cell r="C27" t="str">
            <v>Mambau</v>
          </cell>
          <cell r="D27">
            <v>30316</v>
          </cell>
        </row>
        <row r="28">
          <cell r="B28" t="str">
            <v>N24</v>
          </cell>
          <cell r="C28" t="str">
            <v>Seremban Jaya</v>
          </cell>
          <cell r="D28">
            <v>32899</v>
          </cell>
        </row>
        <row r="29">
          <cell r="B29" t="str">
            <v>N25</v>
          </cell>
          <cell r="C29" t="str">
            <v>Paroi</v>
          </cell>
          <cell r="D29">
            <v>64582</v>
          </cell>
        </row>
        <row r="30">
          <cell r="B30" t="str">
            <v>N26</v>
          </cell>
          <cell r="C30" t="str">
            <v>Chembong</v>
          </cell>
          <cell r="D30">
            <v>26440</v>
          </cell>
        </row>
        <row r="31">
          <cell r="B31" t="str">
            <v>N27</v>
          </cell>
          <cell r="C31" t="str">
            <v>Rantau</v>
          </cell>
          <cell r="D31">
            <v>34636</v>
          </cell>
        </row>
        <row r="32">
          <cell r="B32" t="str">
            <v>N28</v>
          </cell>
          <cell r="C32" t="str">
            <v>Kota</v>
          </cell>
          <cell r="D32">
            <v>16730</v>
          </cell>
        </row>
        <row r="33">
          <cell r="B33" t="str">
            <v>N29</v>
          </cell>
          <cell r="C33" t="str">
            <v>Chuah</v>
          </cell>
          <cell r="D33">
            <v>15141</v>
          </cell>
        </row>
        <row r="34">
          <cell r="B34" t="str">
            <v>N30</v>
          </cell>
          <cell r="C34" t="str">
            <v>Lukut</v>
          </cell>
          <cell r="D34">
            <v>28010</v>
          </cell>
        </row>
        <row r="35">
          <cell r="B35" t="str">
            <v>N31</v>
          </cell>
          <cell r="C35" t="str">
            <v>Bagan Pinang</v>
          </cell>
          <cell r="D35">
            <v>27926</v>
          </cell>
        </row>
        <row r="36">
          <cell r="B36" t="str">
            <v>N32</v>
          </cell>
          <cell r="C36" t="str">
            <v>Linggi</v>
          </cell>
          <cell r="D36">
            <v>20768</v>
          </cell>
        </row>
        <row r="37">
          <cell r="B37" t="str">
            <v>N33</v>
          </cell>
          <cell r="C37" t="str">
            <v>Sri Tanjung</v>
          </cell>
          <cell r="D37">
            <v>19585</v>
          </cell>
        </row>
        <row r="38">
          <cell r="B38" t="str">
            <v>N34</v>
          </cell>
          <cell r="C38" t="str">
            <v>Gemas</v>
          </cell>
          <cell r="D38">
            <v>29235</v>
          </cell>
        </row>
        <row r="39">
          <cell r="B39" t="str">
            <v>N35</v>
          </cell>
          <cell r="C39" t="str">
            <v>Gemencheh</v>
          </cell>
          <cell r="D39">
            <v>24878</v>
          </cell>
        </row>
        <row r="40">
          <cell r="B40" t="str">
            <v>N36</v>
          </cell>
          <cell r="C40" t="str">
            <v>Repah</v>
          </cell>
          <cell r="D40">
            <v>27830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43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9412E70-276F-40E5-A081-64472DAFAD5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fde5012-9de3-4611-8faf-c3d53744e28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57C98-04F0-43D1-9149-5FF1D6C8C122}">
  <dimension ref="B1:Q38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U15" sqref="U15"/>
    </sheetView>
  </sheetViews>
  <sheetFormatPr defaultRowHeight="14.5"/>
  <cols>
    <col min="1" max="1" width="2.1796875" customWidth="1"/>
    <col min="2" max="2" width="7.26953125" customWidth="1"/>
    <col min="3" max="3" width="21.453125" customWidth="1"/>
    <col min="4" max="4" width="13.08984375" customWidth="1"/>
    <col min="5" max="5" width="14.54296875" customWidth="1"/>
    <col min="6" max="17" width="9.81640625" customWidth="1"/>
  </cols>
  <sheetData>
    <row r="1" spans="2:17" ht="30" customHeight="1">
      <c r="B1" s="74" t="s">
        <v>0</v>
      </c>
      <c r="C1" s="76" t="s">
        <v>1</v>
      </c>
      <c r="D1" s="78" t="s">
        <v>2</v>
      </c>
      <c r="E1" s="80" t="s">
        <v>3</v>
      </c>
      <c r="F1" s="64" t="s">
        <v>110</v>
      </c>
      <c r="G1" s="65"/>
      <c r="H1" s="66" t="s">
        <v>111</v>
      </c>
      <c r="I1" s="67"/>
      <c r="J1" s="67"/>
      <c r="K1" s="67"/>
      <c r="L1" s="68"/>
      <c r="M1" s="69"/>
      <c r="N1" s="70" t="s">
        <v>49</v>
      </c>
      <c r="O1" s="71"/>
      <c r="P1" s="72"/>
      <c r="Q1" s="73"/>
    </row>
    <row r="2" spans="2:17" ht="32" customHeight="1" thickBot="1">
      <c r="B2" s="75"/>
      <c r="C2" s="77"/>
      <c r="D2" s="79"/>
      <c r="E2" s="81"/>
      <c r="F2" s="24" t="s">
        <v>57</v>
      </c>
      <c r="G2" s="25" t="s">
        <v>40</v>
      </c>
      <c r="H2" s="26" t="s">
        <v>50</v>
      </c>
      <c r="I2" s="27" t="s">
        <v>51</v>
      </c>
      <c r="J2" s="27" t="s">
        <v>52</v>
      </c>
      <c r="K2" s="27" t="s">
        <v>53</v>
      </c>
      <c r="L2" s="28" t="s">
        <v>54</v>
      </c>
      <c r="M2" s="29" t="s">
        <v>55</v>
      </c>
      <c r="N2" s="30" t="s">
        <v>107</v>
      </c>
      <c r="O2" s="31" t="s">
        <v>108</v>
      </c>
      <c r="P2" s="32" t="s">
        <v>112</v>
      </c>
      <c r="Q2" s="33" t="s">
        <v>109</v>
      </c>
    </row>
    <row r="3" spans="2:17" ht="16" customHeight="1">
      <c r="B3" s="20" t="s">
        <v>22</v>
      </c>
      <c r="C3" s="21" t="str">
        <f ca="1">INDEX('[1](2) Pengundi &amp; % Melayu'!$C$5:$C$40,MATCH($D3,'[1](2) Pengundi &amp; % Melayu'!$B$5:$B$40,0))</f>
        <v>Chennah</v>
      </c>
      <c r="D3" s="22">
        <f ca="1">INDEX('[1](2) Pengundi &amp; % Melayu'!$D$5:$D$40,MATCH($D3,'[1](2) Pengundi &amp; % Melayu'!$B$5:$B$40,0))</f>
        <v>14427</v>
      </c>
      <c r="E3" s="23">
        <f ca="1">INDEX('[1](1) Majoriti'!$I$4:$I$39,MATCH($D3,'[1](1) Majoriti'!$B$4:$B$39,0))</f>
        <v>-2200</v>
      </c>
      <c r="F3" s="34">
        <f>Jelebu!D13+Jelebu!J13+Jelebu!P13+Jelebu!V13+Jelebu!AB13+Jelebu!AH13</f>
        <v>7422</v>
      </c>
      <c r="G3" s="35">
        <f>Jelebu!F13+Jelebu!L13+Jelebu!R13+Jelebu!X13+Jelebu!AD13+Jelebu!AJ13</f>
        <v>7005</v>
      </c>
      <c r="H3" s="36">
        <f>Jelebu!H13</f>
        <v>572</v>
      </c>
      <c r="I3" s="37">
        <f>Jelebu!N13</f>
        <v>1105</v>
      </c>
      <c r="J3" s="37">
        <f>Jelebu!T13</f>
        <v>4040</v>
      </c>
      <c r="K3" s="37">
        <f>Jelebu!Z13</f>
        <v>4987</v>
      </c>
      <c r="L3" s="38">
        <f>Jelebu!AF13</f>
        <v>3723</v>
      </c>
      <c r="M3" s="39">
        <f>Jelebu!AL13</f>
        <v>0</v>
      </c>
      <c r="N3" s="40">
        <f>Jelebu!AN9</f>
        <v>7479</v>
      </c>
      <c r="O3" s="41">
        <f>Jelebu!AN10</f>
        <v>6630</v>
      </c>
      <c r="P3" s="42">
        <f>Jelebu!AN11</f>
        <v>318</v>
      </c>
      <c r="Q3" s="43">
        <f>Jelebu!AN12</f>
        <v>0</v>
      </c>
    </row>
    <row r="4" spans="2:17" ht="16" customHeight="1">
      <c r="B4" s="10" t="s">
        <v>25</v>
      </c>
      <c r="C4" s="11" t="str">
        <f ca="1">INDEX('[1](2) Pengundi &amp; % Melayu'!$C$5:$C$40,MATCH($D4,'[1](2) Pengundi &amp; % Melayu'!$B$5:$B$40,0))</f>
        <v>Pertang</v>
      </c>
      <c r="D4" s="15">
        <f ca="1">INDEX('[1](2) Pengundi &amp; % Melayu'!$D$5:$D$40,MATCH($D4,'[1](2) Pengundi &amp; % Melayu'!$B$5:$B$40,0))</f>
        <v>12880</v>
      </c>
      <c r="E4" s="17">
        <f ca="1">INDEX('[1](1) Majoriti'!$I$4:$I$39,MATCH($D4,'[1](1) Majoriti'!$B$4:$B$39,0))</f>
        <v>-2790</v>
      </c>
      <c r="F4" s="44">
        <f>Jelebu!D27+Jelebu!J27+Jelebu!P27+Jelebu!V27+Jelebu!AB27+Jelebu!AH27</f>
        <v>6523</v>
      </c>
      <c r="G4" s="45">
        <f>Jelebu!F27+Jelebu!L27+Jelebu!R27+Jelebu!X27+Jelebu!AD27+Jelebu!AJ27</f>
        <v>6357</v>
      </c>
      <c r="H4" s="46">
        <f>Jelebu!H27</f>
        <v>503</v>
      </c>
      <c r="I4" s="47">
        <f>Jelebu!N27</f>
        <v>1035</v>
      </c>
      <c r="J4" s="47">
        <f>Jelebu!T27</f>
        <v>3834</v>
      </c>
      <c r="K4" s="47">
        <f>Jelebu!Z27</f>
        <v>4767</v>
      </c>
      <c r="L4" s="48">
        <f>Jelebu!AF27</f>
        <v>2741</v>
      </c>
      <c r="M4" s="49">
        <f>Jelebu!AL27</f>
        <v>0</v>
      </c>
      <c r="N4" s="50">
        <f>Jelebu!AN23</f>
        <v>9201</v>
      </c>
      <c r="O4" s="51">
        <f>Jelebu!AN24</f>
        <v>2842</v>
      </c>
      <c r="P4" s="52">
        <f>Jelebu!AN25</f>
        <v>837</v>
      </c>
      <c r="Q4" s="53">
        <f>Jelebu!AN26</f>
        <v>0</v>
      </c>
    </row>
    <row r="5" spans="2:17" ht="16" customHeight="1">
      <c r="B5" s="10" t="s">
        <v>13</v>
      </c>
      <c r="C5" s="11" t="str">
        <f ca="1">INDEX('[1](2) Pengundi &amp; % Melayu'!$C$5:$C$40,MATCH($D5,'[1](2) Pengundi &amp; % Melayu'!$B$5:$B$40,0))</f>
        <v>Sungai Lui</v>
      </c>
      <c r="D5" s="15">
        <f ca="1">INDEX('[1](2) Pengundi &amp; % Melayu'!$D$5:$D$40,MATCH($D5,'[1](2) Pengundi &amp; % Melayu'!$B$5:$B$40,0))</f>
        <v>19711</v>
      </c>
      <c r="E5" s="17">
        <f ca="1">INDEX('[1](1) Majoriti'!$I$4:$I$39,MATCH($D5,'[1](1) Majoriti'!$B$4:$B$39,0))</f>
        <v>-535</v>
      </c>
      <c r="F5" s="44">
        <f>Jelebu!D41+Jelebu!J41+Jelebu!P41+Jelebu!V41+Jelebu!AB41+Jelebu!AH41</f>
        <v>9851</v>
      </c>
      <c r="G5" s="45">
        <f>Jelebu!F41+Jelebu!L41+Jelebu!R41+Jelebu!X41+Jelebu!AD41+Jelebu!AJ41</f>
        <v>9860</v>
      </c>
      <c r="H5" s="46">
        <f>Jelebu!H41</f>
        <v>864</v>
      </c>
      <c r="I5" s="47">
        <f>Jelebu!N41</f>
        <v>1646</v>
      </c>
      <c r="J5" s="47">
        <f>Jelebu!T41</f>
        <v>6919</v>
      </c>
      <c r="K5" s="47">
        <f>Jelebu!Z41</f>
        <v>6566</v>
      </c>
      <c r="L5" s="48">
        <f>Jelebu!AF41</f>
        <v>3716</v>
      </c>
      <c r="M5" s="49">
        <f>Jelebu!AL41</f>
        <v>0</v>
      </c>
      <c r="N5" s="50">
        <f>Jelebu!AN37</f>
        <v>16721</v>
      </c>
      <c r="O5" s="51">
        <f>Jelebu!AN38</f>
        <v>1417</v>
      </c>
      <c r="P5" s="52">
        <f>Jelebu!AN39</f>
        <v>1573</v>
      </c>
      <c r="Q5" s="53">
        <f>Jelebu!AN40</f>
        <v>0</v>
      </c>
    </row>
    <row r="6" spans="2:17" ht="16" customHeight="1">
      <c r="B6" s="10" t="s">
        <v>15</v>
      </c>
      <c r="C6" s="11" t="str">
        <f ca="1">INDEX('[1](2) Pengundi &amp; % Melayu'!$C$5:$C$40,MATCH($D6,'[1](2) Pengundi &amp; % Melayu'!$B$5:$B$40,0))</f>
        <v>Klawang</v>
      </c>
      <c r="D6" s="15">
        <f ca="1">INDEX('[1](2) Pengundi &amp; % Melayu'!$D$5:$D$40,MATCH($D6,'[1](2) Pengundi &amp; % Melayu'!$B$5:$B$40,0))</f>
        <v>13329</v>
      </c>
      <c r="E6" s="17">
        <f ca="1">INDEX('[1](1) Majoriti'!$I$4:$I$39,MATCH($D6,'[1](1) Majoriti'!$B$4:$B$39,0))</f>
        <v>-577</v>
      </c>
      <c r="F6" s="44">
        <f>Jelebu!D55+Jelebu!J55+Jelebu!P55+Jelebu!V55+Jelebu!AB55+Jelebu!AH55</f>
        <v>6676</v>
      </c>
      <c r="G6" s="45">
        <f>Jelebu!F55+Jelebu!L55+Jelebu!R55+Jelebu!X55+Jelebu!AD55+Jelebu!AJ55</f>
        <v>6653</v>
      </c>
      <c r="H6" s="46">
        <f>Jelebu!H55</f>
        <v>639</v>
      </c>
      <c r="I6" s="47">
        <f>Jelebu!N55</f>
        <v>1221</v>
      </c>
      <c r="J6" s="47">
        <f>Jelebu!T55</f>
        <v>4067</v>
      </c>
      <c r="K6" s="47">
        <f>Jelebu!Z55</f>
        <v>4232</v>
      </c>
      <c r="L6" s="48">
        <f>Jelebu!AF55</f>
        <v>3170</v>
      </c>
      <c r="M6" s="49">
        <f>Jelebu!AL55</f>
        <v>0</v>
      </c>
      <c r="N6" s="50">
        <f>Jelebu!AN51</f>
        <v>9044</v>
      </c>
      <c r="O6" s="12">
        <f>Jelebu!AN52</f>
        <v>3818</v>
      </c>
      <c r="P6" s="52">
        <f>Jelebu!AN53</f>
        <v>465</v>
      </c>
      <c r="Q6" s="53">
        <f>Jelebu!AN54</f>
        <v>2</v>
      </c>
    </row>
    <row r="7" spans="2:17" ht="16" customHeight="1">
      <c r="B7" s="10" t="s">
        <v>8</v>
      </c>
      <c r="C7" s="11" t="str">
        <f ca="1">INDEX('[1](2) Pengundi &amp; % Melayu'!$C$5:$C$40,MATCH($D7,'[1](2) Pengundi &amp; % Melayu'!$B$5:$B$40,0))</f>
        <v>Serting</v>
      </c>
      <c r="D7" s="15">
        <f ca="1">INDEX('[1](2) Pengundi &amp; % Melayu'!$D$5:$D$40,MATCH($D7,'[1](2) Pengundi &amp; % Melayu'!$B$5:$B$40,0))</f>
        <v>30593</v>
      </c>
      <c r="E7" s="18">
        <f ca="1">INDEX('[1](1) Majoriti'!$I$4:$I$39,MATCH($D7,'[1](1) Majoriti'!$B$4:$B$39,0))</f>
        <v>843</v>
      </c>
      <c r="F7" s="44">
        <f>Jempol!D13+Jempol!J13+Jempol!P13+Jempol!V13+Jempol!AB13+Jempol!AH13</f>
        <v>14949</v>
      </c>
      <c r="G7" s="45">
        <f>Jempol!F13+Jempol!L13+Jempol!R13+Jempol!X13+Jempol!AD13+Jempol!AJ13</f>
        <v>15644</v>
      </c>
      <c r="H7" s="46">
        <f>Jempol!H13</f>
        <v>1251</v>
      </c>
      <c r="I7" s="47">
        <f>Jempol!N13</f>
        <v>2626</v>
      </c>
      <c r="J7" s="47">
        <f>Jempol!T13</f>
        <v>12688</v>
      </c>
      <c r="K7" s="47">
        <f>Jempol!Z13</f>
        <v>8083</v>
      </c>
      <c r="L7" s="48">
        <f>Jempol!AF13</f>
        <v>5945</v>
      </c>
      <c r="M7" s="49">
        <f>Jempol!AL13</f>
        <v>0</v>
      </c>
      <c r="N7" s="50">
        <f>Jempol!AN9</f>
        <v>24322</v>
      </c>
      <c r="O7" s="12">
        <f>Jempol!AN10</f>
        <v>3845</v>
      </c>
      <c r="P7" s="52">
        <f>Jempol!AN11</f>
        <v>2426</v>
      </c>
      <c r="Q7" s="53">
        <f>Jempol!AN12</f>
        <v>0</v>
      </c>
    </row>
    <row r="8" spans="2:17" ht="16" customHeight="1">
      <c r="B8" s="10" t="s">
        <v>14</v>
      </c>
      <c r="C8" s="11" t="str">
        <f ca="1">INDEX('[1](2) Pengundi &amp; % Melayu'!$C$5:$C$40,MATCH($D8,'[1](2) Pengundi &amp; % Melayu'!$B$5:$B$40,0))</f>
        <v>Palong</v>
      </c>
      <c r="D8" s="15">
        <f ca="1">INDEX('[1](2) Pengundi &amp; % Melayu'!$D$5:$D$40,MATCH($D8,'[1](2) Pengundi &amp; % Melayu'!$B$5:$B$40,0))</f>
        <v>23548</v>
      </c>
      <c r="E8" s="17">
        <f ca="1">INDEX('[1](1) Majoriti'!$I$4:$I$39,MATCH($D8,'[1](1) Majoriti'!$B$4:$B$39,0))</f>
        <v>-564</v>
      </c>
      <c r="F8" s="44">
        <f>Jempol!D27+Jempol!J27+Jempol!P27+Jempol!V27+Jempol!AB27+Jempol!AH27</f>
        <v>11396</v>
      </c>
      <c r="G8" s="45">
        <f>Jempol!F27+Jempol!L27+Jempol!R27+Jempol!X27+Jempol!AD27+Jempol!AJ27</f>
        <v>12152</v>
      </c>
      <c r="H8" s="46">
        <f>Jempol!H27</f>
        <v>912</v>
      </c>
      <c r="I8" s="47">
        <f>Jempol!N27</f>
        <v>1594</v>
      </c>
      <c r="J8" s="47">
        <f>Jempol!T27</f>
        <v>8813</v>
      </c>
      <c r="K8" s="47">
        <f>Jempol!Z27</f>
        <v>7140</v>
      </c>
      <c r="L8" s="48">
        <f>Jempol!AF27</f>
        <v>5089</v>
      </c>
      <c r="M8" s="49">
        <f>Jempol!AL27</f>
        <v>0</v>
      </c>
      <c r="N8" s="50">
        <f>Jempol!AN23</f>
        <v>21891</v>
      </c>
      <c r="O8" s="12">
        <f>Jempol!AN24</f>
        <v>453</v>
      </c>
      <c r="P8" s="52">
        <f>Jempol!AN25</f>
        <v>1204</v>
      </c>
      <c r="Q8" s="53">
        <f>Jempol!AN26</f>
        <v>0</v>
      </c>
    </row>
    <row r="9" spans="2:17" ht="16" customHeight="1">
      <c r="B9" s="10" t="s">
        <v>18</v>
      </c>
      <c r="C9" s="11" t="str">
        <f ca="1">INDEX('[1](2) Pengundi &amp; % Melayu'!$C$5:$C$40,MATCH($D9,'[1](2) Pengundi &amp; % Melayu'!$B$5:$B$40,0))</f>
        <v>Jeram Padang</v>
      </c>
      <c r="D9" s="15">
        <f ca="1">INDEX('[1](2) Pengundi &amp; % Melayu'!$D$5:$D$40,MATCH($D9,'[1](2) Pengundi &amp; % Melayu'!$B$5:$B$40,0))</f>
        <v>16539</v>
      </c>
      <c r="E9" s="17">
        <f ca="1">INDEX('[1](1) Majoriti'!$I$4:$I$39,MATCH($D9,'[1](1) Majoriti'!$B$4:$B$39,0))</f>
        <v>-693</v>
      </c>
      <c r="F9" s="44">
        <f>Jempol!D41+Jempol!J41+Jempol!P41+Jempol!V41+Jempol!AB41+Jempol!AH41</f>
        <v>7938</v>
      </c>
      <c r="G9" s="45">
        <f>Jempol!F41+Jempol!L41+Jempol!R41+Jempol!X41+Jempol!AD41+Jempol!AJ41</f>
        <v>8601</v>
      </c>
      <c r="H9" s="46">
        <f>Jempol!H41</f>
        <v>884</v>
      </c>
      <c r="I9" s="47">
        <f>Jempol!N41</f>
        <v>1677</v>
      </c>
      <c r="J9" s="47">
        <f>Jempol!T41</f>
        <v>5278</v>
      </c>
      <c r="K9" s="47">
        <f>Jempol!Z41</f>
        <v>5534</v>
      </c>
      <c r="L9" s="48">
        <f>Jempol!AF41</f>
        <v>3166</v>
      </c>
      <c r="M9" s="49">
        <f>Jempol!AL41</f>
        <v>0</v>
      </c>
      <c r="N9" s="50">
        <f>Jempol!AN37</f>
        <v>9518</v>
      </c>
      <c r="O9" s="51">
        <f>Jempol!AN38</f>
        <v>1696</v>
      </c>
      <c r="P9" s="52">
        <f>Jempol!AN39</f>
        <v>5324</v>
      </c>
      <c r="Q9" s="53">
        <f>Jempol!AN40</f>
        <v>1</v>
      </c>
    </row>
    <row r="10" spans="2:17" ht="16" customHeight="1">
      <c r="B10" s="10" t="s">
        <v>32</v>
      </c>
      <c r="C10" s="11" t="str">
        <f ca="1">INDEX('[1](2) Pengundi &amp; % Melayu'!$C$5:$C$40,MATCH($D10,'[1](2) Pengundi &amp; % Melayu'!$B$5:$B$40,0))</f>
        <v>Bahau</v>
      </c>
      <c r="D10" s="15">
        <f ca="1">INDEX('[1](2) Pengundi &amp; % Melayu'!$D$5:$D$40,MATCH($D10,'[1](2) Pengundi &amp; % Melayu'!$B$5:$B$40,0))</f>
        <v>25951</v>
      </c>
      <c r="E10" s="17">
        <f ca="1">INDEX('[1](1) Majoriti'!$I$4:$I$39,MATCH($D10,'[1](1) Majoriti'!$B$4:$B$39,0))</f>
        <v>-8408</v>
      </c>
      <c r="F10" s="44">
        <f>Jempol!D55+Jempol!J55+Jempol!P55+Jempol!V55+Jempol!AB55+Jempol!AH55</f>
        <v>12840</v>
      </c>
      <c r="G10" s="45">
        <f>Jempol!F55+Jempol!L55+Jempol!R55+Jempol!X55+Jempol!AD55+Jempol!AJ55</f>
        <v>13111</v>
      </c>
      <c r="H10" s="46">
        <f>Jempol!H55</f>
        <v>1173</v>
      </c>
      <c r="I10" s="47">
        <f>Jempol!N55</f>
        <v>2353</v>
      </c>
      <c r="J10" s="47">
        <f>Jempol!T55</f>
        <v>7978</v>
      </c>
      <c r="K10" s="47">
        <f>Jempol!Z55</f>
        <v>8244</v>
      </c>
      <c r="L10" s="48">
        <f>Jempol!AF55</f>
        <v>6203</v>
      </c>
      <c r="M10" s="49">
        <f>Jempol!AL55</f>
        <v>0</v>
      </c>
      <c r="N10" s="50">
        <f>Jempol!AN51</f>
        <v>8209</v>
      </c>
      <c r="O10" s="51">
        <f>Jempol!AN52</f>
        <v>15122</v>
      </c>
      <c r="P10" s="52">
        <f>Jempol!AN53</f>
        <v>2620</v>
      </c>
      <c r="Q10" s="53">
        <f>Jempol!AN54</f>
        <v>0</v>
      </c>
    </row>
    <row r="11" spans="2:17" ht="16" customHeight="1">
      <c r="B11" s="10" t="s">
        <v>17</v>
      </c>
      <c r="C11" s="11" t="str">
        <f ca="1">INDEX('[1](2) Pengundi &amp; % Melayu'!$C$5:$C$40,MATCH($D11,'[1](2) Pengundi &amp; % Melayu'!$B$5:$B$40,0))</f>
        <v>Lenggeng</v>
      </c>
      <c r="D11" s="15">
        <f ca="1">INDEX('[1](2) Pengundi &amp; % Melayu'!$D$5:$D$40,MATCH($D11,'[1](2) Pengundi &amp; % Melayu'!$B$5:$B$40,0))</f>
        <v>28671</v>
      </c>
      <c r="E11" s="17">
        <f ca="1">INDEX('[1](1) Majoriti'!$I$4:$I$39,MATCH($D11,'[1](1) Majoriti'!$B$4:$B$39,0))</f>
        <v>-685</v>
      </c>
      <c r="F11" s="44">
        <f>Seremban!D13+Seremban!J13+Seremban!P13+Seremban!V13+Seremban!AB13+Seremban!AH13</f>
        <v>14102</v>
      </c>
      <c r="G11" s="45">
        <f>Seremban!F13+Seremban!L13+Seremban!R13+Seremban!X13+Seremban!AD13+Seremban!AJ13</f>
        <v>14569</v>
      </c>
      <c r="H11" s="46">
        <f>Seremban!H13</f>
        <v>1467</v>
      </c>
      <c r="I11" s="47">
        <f>Seremban!N13</f>
        <v>3269</v>
      </c>
      <c r="J11" s="47">
        <f>Seremban!T13</f>
        <v>9987</v>
      </c>
      <c r="K11" s="47">
        <f>Seremban!Z13</f>
        <v>8530</v>
      </c>
      <c r="L11" s="48">
        <f>Seremban!AF13</f>
        <v>5418</v>
      </c>
      <c r="M11" s="49">
        <f>Seremban!AL13</f>
        <v>0</v>
      </c>
      <c r="N11" s="50">
        <f>Seremban!AN9</f>
        <v>22814</v>
      </c>
      <c r="O11" s="51">
        <f>Seremban!AN10</f>
        <v>4457</v>
      </c>
      <c r="P11" s="52">
        <f>Seremban!AN11</f>
        <v>1400</v>
      </c>
      <c r="Q11" s="53">
        <f>Seremban!AN12</f>
        <v>0</v>
      </c>
    </row>
    <row r="12" spans="2:17" ht="16" customHeight="1">
      <c r="B12" s="10" t="s">
        <v>35</v>
      </c>
      <c r="C12" s="11" t="str">
        <f ca="1">INDEX('[1](2) Pengundi &amp; % Melayu'!$C$5:$C$40,MATCH($D12,'[1](2) Pengundi &amp; % Melayu'!$B$5:$B$40,0))</f>
        <v>Nilai</v>
      </c>
      <c r="D12" s="15">
        <f ca="1">INDEX('[1](2) Pengundi &amp; % Melayu'!$D$5:$D$40,MATCH($D12,'[1](2) Pengundi &amp; % Melayu'!$B$5:$B$40,0))</f>
        <v>45487</v>
      </c>
      <c r="E12" s="17">
        <f ca="1">INDEX('[1](1) Majoriti'!$I$4:$I$39,MATCH($D12,'[1](1) Majoriti'!$B$4:$B$39,0))</f>
        <v>-10889</v>
      </c>
      <c r="F12" s="44">
        <f>Seremban!D27+Seremban!J27+Seremban!P27+Seremban!V27+Seremban!AB27+Seremban!AH27</f>
        <v>23107</v>
      </c>
      <c r="G12" s="45">
        <f>Seremban!F27+Seremban!L27+Seremban!R27+Seremban!X27+Seremban!AD27+Seremban!AJ27</f>
        <v>22380</v>
      </c>
      <c r="H12" s="46">
        <f>Seremban!H27</f>
        <v>3635</v>
      </c>
      <c r="I12" s="47">
        <f>Seremban!N27</f>
        <v>6582</v>
      </c>
      <c r="J12" s="47">
        <f>Seremban!T27</f>
        <v>14783</v>
      </c>
      <c r="K12" s="47">
        <f>Seremban!Z27</f>
        <v>13688</v>
      </c>
      <c r="L12" s="48">
        <f>Seremban!AF27</f>
        <v>6799</v>
      </c>
      <c r="M12" s="49">
        <f>Seremban!AL27</f>
        <v>0</v>
      </c>
      <c r="N12" s="50">
        <f>Seremban!AN23</f>
        <v>22213</v>
      </c>
      <c r="O12" s="51">
        <f>Seremban!AN24</f>
        <v>14350</v>
      </c>
      <c r="P12" s="52">
        <f>Seremban!AN25</f>
        <v>8918</v>
      </c>
      <c r="Q12" s="53">
        <f>Seremban!AN26</f>
        <v>6</v>
      </c>
    </row>
    <row r="13" spans="2:17" ht="16" customHeight="1">
      <c r="B13" s="10" t="s">
        <v>37</v>
      </c>
      <c r="C13" s="11" t="str">
        <f ca="1">INDEX('[1](2) Pengundi &amp; % Melayu'!$C$5:$C$40,MATCH($D13,'[1](2) Pengundi &amp; % Melayu'!$B$5:$B$40,0))</f>
        <v>Lobak</v>
      </c>
      <c r="D13" s="15">
        <f ca="1">INDEX('[1](2) Pengundi &amp; % Melayu'!$D$5:$D$40,MATCH($D13,'[1](2) Pengundi &amp; % Melayu'!$B$5:$B$40,0))</f>
        <v>23141</v>
      </c>
      <c r="E13" s="17">
        <f ca="1">INDEX('[1](1) Majoriti'!$I$4:$I$39,MATCH($D13,'[1](1) Majoriti'!$B$4:$B$39,0))</f>
        <v>-13504</v>
      </c>
      <c r="F13" s="44">
        <f>Seremban!D41+Seremban!J41+Seremban!P41+Seremban!V41+Seremban!AB41+Seremban!AH41</f>
        <v>11099</v>
      </c>
      <c r="G13" s="45">
        <f>Seremban!F41+Seremban!L41+Seremban!R41+Seremban!X41+Seremban!AD41+Seremban!AJ41</f>
        <v>12042</v>
      </c>
      <c r="H13" s="46">
        <f>Seremban!H41</f>
        <v>703</v>
      </c>
      <c r="I13" s="47">
        <f>Seremban!N41</f>
        <v>1492</v>
      </c>
      <c r="J13" s="47">
        <f>Seremban!T41</f>
        <v>5797</v>
      </c>
      <c r="K13" s="47">
        <f>Seremban!Z41</f>
        <v>8069</v>
      </c>
      <c r="L13" s="48">
        <f>Seremban!AF41</f>
        <v>7080</v>
      </c>
      <c r="M13" s="49">
        <f>Seremban!AL41</f>
        <v>0</v>
      </c>
      <c r="N13" s="50">
        <f>Seremban!AN37</f>
        <v>1555</v>
      </c>
      <c r="O13" s="51">
        <f>Seremban!AN38</f>
        <v>16793</v>
      </c>
      <c r="P13" s="52">
        <f>Seremban!AN39</f>
        <v>4789</v>
      </c>
      <c r="Q13" s="53">
        <f>Seremban!AN40</f>
        <v>4</v>
      </c>
    </row>
    <row r="14" spans="2:17" ht="16" customHeight="1">
      <c r="B14" s="10" t="s">
        <v>26</v>
      </c>
      <c r="C14" s="11" t="str">
        <f ca="1">INDEX('[1](2) Pengundi &amp; % Melayu'!$C$5:$C$40,MATCH($D14,'[1](2) Pengundi &amp; % Melayu'!$B$5:$B$40,0))</f>
        <v>Temiang</v>
      </c>
      <c r="D14" s="15">
        <f ca="1">INDEX('[1](2) Pengundi &amp; % Melayu'!$D$5:$D$40,MATCH($D14,'[1](2) Pengundi &amp; % Melayu'!$B$5:$B$40,0))</f>
        <v>12975</v>
      </c>
      <c r="E14" s="17">
        <f ca="1">INDEX('[1](1) Majoriti'!$I$4:$I$39,MATCH($D14,'[1](1) Majoriti'!$B$4:$B$39,0))</f>
        <v>-3068</v>
      </c>
      <c r="F14" s="44">
        <f>Seremban!D55+Seremban!J55+Seremban!P55+Seremban!V55+Seremban!AB55+Seremban!AH55</f>
        <v>6803</v>
      </c>
      <c r="G14" s="45">
        <f>Seremban!F55+Seremban!L55+Seremban!R55+Seremban!X55+Seremban!AD55+Seremban!AJ55</f>
        <v>6172</v>
      </c>
      <c r="H14" s="46">
        <f>Seremban!H55</f>
        <v>457</v>
      </c>
      <c r="I14" s="47">
        <f>Seremban!N55</f>
        <v>813</v>
      </c>
      <c r="J14" s="47">
        <f>Seremban!T55</f>
        <v>3554</v>
      </c>
      <c r="K14" s="47">
        <f>Seremban!Z55</f>
        <v>4224</v>
      </c>
      <c r="L14" s="48">
        <f>Seremban!AF55</f>
        <v>3927</v>
      </c>
      <c r="M14" s="49">
        <f>Seremban!AL55</f>
        <v>0</v>
      </c>
      <c r="N14" s="50">
        <f>Seremban!AN51</f>
        <v>5473</v>
      </c>
      <c r="O14" s="51">
        <f>Seremban!AN52</f>
        <v>5800</v>
      </c>
      <c r="P14" s="52">
        <f>Seremban!AN53</f>
        <v>1695</v>
      </c>
      <c r="Q14" s="53">
        <f>Seremban!AN54</f>
        <v>7</v>
      </c>
    </row>
    <row r="15" spans="2:17" ht="16" customHeight="1">
      <c r="B15" s="10" t="s">
        <v>24</v>
      </c>
      <c r="C15" s="11" t="str">
        <f ca="1">INDEX('[1](2) Pengundi &amp; % Melayu'!$C$5:$C$40,MATCH($D15,'[1](2) Pengundi &amp; % Melayu'!$B$5:$B$40,0))</f>
        <v>Sikamat</v>
      </c>
      <c r="D15" s="15">
        <f ca="1">INDEX('[1](2) Pengundi &amp; % Melayu'!$D$5:$D$40,MATCH($D15,'[1](2) Pengundi &amp; % Melayu'!$B$5:$B$40,0))</f>
        <v>33885</v>
      </c>
      <c r="E15" s="17">
        <f ca="1">INDEX('[1](1) Majoriti'!$I$4:$I$39,MATCH($D15,'[1](1) Majoriti'!$B$4:$B$39,0))</f>
        <v>-2662</v>
      </c>
      <c r="F15" s="44">
        <f>Seremban!D69+Seremban!J69+Seremban!P69+Seremban!V69+Seremban!AB69+Seremban!AH69</f>
        <v>16567</v>
      </c>
      <c r="G15" s="45">
        <f>Seremban!F69+Seremban!L69+Seremban!R69+Seremban!X69+Seremban!AD69+Seremban!AJ69</f>
        <v>17318</v>
      </c>
      <c r="H15" s="46">
        <f>Seremban!H69</f>
        <v>1960</v>
      </c>
      <c r="I15" s="47">
        <f>Seremban!N69</f>
        <v>4028</v>
      </c>
      <c r="J15" s="47">
        <f>Seremban!T69</f>
        <v>11959</v>
      </c>
      <c r="K15" s="47">
        <f>Seremban!Z69</f>
        <v>10001</v>
      </c>
      <c r="L15" s="48">
        <f>Seremban!AF69</f>
        <v>5937</v>
      </c>
      <c r="M15" s="49">
        <f>Seremban!AL69</f>
        <v>0</v>
      </c>
      <c r="N15" s="50">
        <f>Seremban!AN65</f>
        <v>24814</v>
      </c>
      <c r="O15" s="51">
        <f>Seremban!AN66</f>
        <v>6773</v>
      </c>
      <c r="P15" s="52">
        <f>Seremban!AN67</f>
        <v>2282</v>
      </c>
      <c r="Q15" s="53">
        <f>Seremban!AN68</f>
        <v>16</v>
      </c>
    </row>
    <row r="16" spans="2:17" ht="16" customHeight="1">
      <c r="B16" s="10" t="s">
        <v>11</v>
      </c>
      <c r="C16" s="11" t="str">
        <f ca="1">INDEX('[1](2) Pengundi &amp; % Melayu'!$C$5:$C$40,MATCH($D16,'[1](2) Pengundi &amp; % Melayu'!$B$5:$B$40,0))</f>
        <v>Ampangan</v>
      </c>
      <c r="D16" s="15">
        <f ca="1">INDEX('[1](2) Pengundi &amp; % Melayu'!$D$5:$D$40,MATCH($D16,'[1](2) Pengundi &amp; % Melayu'!$B$5:$B$40,0))</f>
        <v>21338</v>
      </c>
      <c r="E16" s="17">
        <f ca="1">INDEX('[1](1) Majoriti'!$I$4:$I$39,MATCH($D16,'[1](1) Majoriti'!$B$4:$B$39,0))</f>
        <v>-329</v>
      </c>
      <c r="F16" s="44">
        <f>Seremban!D83+Seremban!J83+Seremban!P83+Seremban!V83+Seremban!AB83+Seremban!AH83</f>
        <v>10460</v>
      </c>
      <c r="G16" s="45">
        <f>Seremban!F83+Seremban!L83+Seremban!R83+Seremban!X83+Seremban!AD83+Seremban!AJ83</f>
        <v>10878</v>
      </c>
      <c r="H16" s="46">
        <f>Seremban!H83</f>
        <v>859</v>
      </c>
      <c r="I16" s="47">
        <f>Seremban!N83</f>
        <v>1847</v>
      </c>
      <c r="J16" s="47">
        <f>Seremban!T83</f>
        <v>6486</v>
      </c>
      <c r="K16" s="47">
        <f>Seremban!Z83</f>
        <v>6920</v>
      </c>
      <c r="L16" s="48">
        <f>Seremban!AF83</f>
        <v>5226</v>
      </c>
      <c r="M16" s="49">
        <f>Seremban!AL83</f>
        <v>0</v>
      </c>
      <c r="N16" s="50">
        <f>Seremban!AN79</f>
        <v>16314</v>
      </c>
      <c r="O16" s="51">
        <f>Seremban!AN80</f>
        <v>3572</v>
      </c>
      <c r="P16" s="52">
        <f>Seremban!AN81</f>
        <v>1440</v>
      </c>
      <c r="Q16" s="53">
        <f>Seremban!AN82</f>
        <v>12</v>
      </c>
    </row>
    <row r="17" spans="2:17" ht="16" customHeight="1">
      <c r="B17" s="10" t="s">
        <v>9</v>
      </c>
      <c r="C17" s="11" t="str">
        <f ca="1">INDEX('[1](2) Pengundi &amp; % Melayu'!$C$5:$C$40,MATCH($D17,'[1](2) Pengundi &amp; % Melayu'!$B$5:$B$40,0))</f>
        <v>Juasseh</v>
      </c>
      <c r="D17" s="15">
        <f ca="1">INDEX('[1](2) Pengundi &amp; % Melayu'!$D$5:$D$40,MATCH($D17,'[1](2) Pengundi &amp; % Melayu'!$B$5:$B$40,0))</f>
        <v>13669</v>
      </c>
      <c r="E17" s="17">
        <f ca="1">INDEX('[1](1) Majoriti'!$I$4:$I$39,MATCH($D17,'[1](1) Majoriti'!$B$4:$B$39,0))</f>
        <v>-78</v>
      </c>
      <c r="F17" s="44">
        <f>'Kuala Pilah'!D13+'Kuala Pilah'!J13+'Kuala Pilah'!P13+'Kuala Pilah'!V13+'Kuala Pilah'!AB13+'Kuala Pilah'!AH13</f>
        <v>6676</v>
      </c>
      <c r="G17" s="45">
        <f>'Kuala Pilah'!F13+'Kuala Pilah'!L13+'Kuala Pilah'!R13+'Kuala Pilah'!X13+'Kuala Pilah'!AD13+'Kuala Pilah'!AJ13</f>
        <v>6993</v>
      </c>
      <c r="H17" s="46">
        <f>'Kuala Pilah'!H13</f>
        <v>596</v>
      </c>
      <c r="I17" s="47">
        <f>'Kuala Pilah'!N13</f>
        <v>1264</v>
      </c>
      <c r="J17" s="47">
        <f>'Kuala Pilah'!T13</f>
        <v>4385</v>
      </c>
      <c r="K17" s="47">
        <f>'Kuala Pilah'!Z13</f>
        <v>4309</v>
      </c>
      <c r="L17" s="48">
        <f>'Kuala Pilah'!AF13</f>
        <v>3115</v>
      </c>
      <c r="M17" s="49">
        <f>'Kuala Pilah'!AL13</f>
        <v>0</v>
      </c>
      <c r="N17" s="50">
        <f>'Kuala Pilah'!AN9</f>
        <v>11310</v>
      </c>
      <c r="O17" s="51">
        <f>'Kuala Pilah'!AN10</f>
        <v>1676</v>
      </c>
      <c r="P17" s="52">
        <f>'Kuala Pilah'!AN11</f>
        <v>681</v>
      </c>
      <c r="Q17" s="53">
        <f>'Kuala Pilah'!AN12</f>
        <v>2</v>
      </c>
    </row>
    <row r="18" spans="2:17" ht="16" customHeight="1">
      <c r="B18" s="10" t="s">
        <v>12</v>
      </c>
      <c r="C18" s="11" t="str">
        <f ca="1">INDEX('[1](2) Pengundi &amp; % Melayu'!$C$5:$C$40,MATCH($D18,'[1](2) Pengundi &amp; % Melayu'!$B$5:$B$40,0))</f>
        <v>Seri Menanti</v>
      </c>
      <c r="D18" s="15">
        <f ca="1">INDEX('[1](2) Pengundi &amp; % Melayu'!$D$5:$D$40,MATCH($D18,'[1](2) Pengundi &amp; % Melayu'!$B$5:$B$40,0))</f>
        <v>10100</v>
      </c>
      <c r="E18" s="17">
        <f ca="1">INDEX('[1](1) Majoriti'!$I$4:$I$39,MATCH($D18,'[1](1) Majoriti'!$B$4:$B$39,0))</f>
        <v>-370</v>
      </c>
      <c r="F18" s="44">
        <f>'Kuala Pilah'!D27+'Kuala Pilah'!J27+'Kuala Pilah'!P27+'Kuala Pilah'!V27+'Kuala Pilah'!AB27+'Kuala Pilah'!AH27</f>
        <v>4959</v>
      </c>
      <c r="G18" s="45">
        <f>'Kuala Pilah'!F27+'Kuala Pilah'!L27+'Kuala Pilah'!R27+'Kuala Pilah'!X27+'Kuala Pilah'!AD27+'Kuala Pilah'!AJ27</f>
        <v>5141</v>
      </c>
      <c r="H18" s="46">
        <f>'Kuala Pilah'!H27</f>
        <v>389</v>
      </c>
      <c r="I18" s="47">
        <f>'Kuala Pilah'!N27</f>
        <v>876</v>
      </c>
      <c r="J18" s="47">
        <f>'Kuala Pilah'!T27</f>
        <v>2783</v>
      </c>
      <c r="K18" s="47">
        <f>'Kuala Pilah'!Z27</f>
        <v>3455</v>
      </c>
      <c r="L18" s="48">
        <f>'Kuala Pilah'!AF27</f>
        <v>2597</v>
      </c>
      <c r="M18" s="49">
        <f>'Kuala Pilah'!AL27</f>
        <v>0</v>
      </c>
      <c r="N18" s="50">
        <f>'Kuala Pilah'!AN23</f>
        <v>9665</v>
      </c>
      <c r="O18" s="51">
        <f>'Kuala Pilah'!AN24</f>
        <v>379</v>
      </c>
      <c r="P18" s="52">
        <f>'Kuala Pilah'!AN25</f>
        <v>56</v>
      </c>
      <c r="Q18" s="53">
        <f>'Kuala Pilah'!AN26</f>
        <v>0</v>
      </c>
    </row>
    <row r="19" spans="2:17" ht="16" customHeight="1">
      <c r="B19" s="10" t="s">
        <v>16</v>
      </c>
      <c r="C19" s="11" t="str">
        <f ca="1">INDEX('[1](2) Pengundi &amp; % Melayu'!$C$5:$C$40,MATCH($D19,'[1](2) Pengundi &amp; % Melayu'!$B$5:$B$40,0))</f>
        <v>Senaling</v>
      </c>
      <c r="D19" s="15">
        <f ca="1">INDEX('[1](2) Pengundi &amp; % Melayu'!$D$5:$D$40,MATCH($D19,'[1](2) Pengundi &amp; % Melayu'!$B$5:$B$40,0))</f>
        <v>9914</v>
      </c>
      <c r="E19" s="17">
        <f ca="1">INDEX('[1](1) Majoriti'!$I$4:$I$39,MATCH($D19,'[1](1) Majoriti'!$B$4:$B$39,0))</f>
        <v>-662</v>
      </c>
      <c r="F19" s="44">
        <f>'Kuala Pilah'!D41+'Kuala Pilah'!J41+'Kuala Pilah'!P41+'Kuala Pilah'!V41+'Kuala Pilah'!AB41+'Kuala Pilah'!AH41</f>
        <v>4906</v>
      </c>
      <c r="G19" s="45">
        <f>'Kuala Pilah'!F41+'Kuala Pilah'!L41+'Kuala Pilah'!R41+'Kuala Pilah'!X41+'Kuala Pilah'!AD41+'Kuala Pilah'!AJ41</f>
        <v>5008</v>
      </c>
      <c r="H19" s="46">
        <f>'Kuala Pilah'!H41</f>
        <v>421</v>
      </c>
      <c r="I19" s="47">
        <f>'Kuala Pilah'!N41</f>
        <v>734</v>
      </c>
      <c r="J19" s="47">
        <f>'Kuala Pilah'!T41</f>
        <v>2881</v>
      </c>
      <c r="K19" s="47">
        <f>'Kuala Pilah'!Z41</f>
        <v>3247</v>
      </c>
      <c r="L19" s="48">
        <f>'Kuala Pilah'!AF41</f>
        <v>2631</v>
      </c>
      <c r="M19" s="49">
        <f>'Kuala Pilah'!AL41</f>
        <v>0</v>
      </c>
      <c r="N19" s="50">
        <f>'Kuala Pilah'!AN37</f>
        <v>8117</v>
      </c>
      <c r="O19" s="51">
        <f>'Kuala Pilah'!AN38</f>
        <v>1514</v>
      </c>
      <c r="P19" s="52">
        <f>'Kuala Pilah'!AN39</f>
        <v>283</v>
      </c>
      <c r="Q19" s="53">
        <f>'Kuala Pilah'!AN40</f>
        <v>0</v>
      </c>
    </row>
    <row r="20" spans="2:17" ht="16" customHeight="1">
      <c r="B20" s="10" t="s">
        <v>19</v>
      </c>
      <c r="C20" s="11" t="str">
        <f ca="1">INDEX('[1](2) Pengundi &amp; % Melayu'!$C$5:$C$40,MATCH($D20,'[1](2) Pengundi &amp; % Melayu'!$B$5:$B$40,0))</f>
        <v>Pilah</v>
      </c>
      <c r="D20" s="15">
        <f ca="1">INDEX('[1](2) Pengundi &amp; % Melayu'!$D$5:$D$40,MATCH($D20,'[1](2) Pengundi &amp; % Melayu'!$B$5:$B$40,0))</f>
        <v>17963</v>
      </c>
      <c r="E20" s="17">
        <f ca="1">INDEX('[1](1) Majoriti'!$I$4:$I$39,MATCH($D20,'[1](1) Majoriti'!$B$4:$B$39,0))</f>
        <v>-1079</v>
      </c>
      <c r="F20" s="44">
        <f>'Kuala Pilah'!D55+'Kuala Pilah'!J55+'Kuala Pilah'!P55+'Kuala Pilah'!V55+'Kuala Pilah'!AB55+'Kuala Pilah'!AH55</f>
        <v>8902</v>
      </c>
      <c r="G20" s="45">
        <f>'Kuala Pilah'!F55+'Kuala Pilah'!L55+'Kuala Pilah'!R55+'Kuala Pilah'!X55+'Kuala Pilah'!AD55+'Kuala Pilah'!AJ55</f>
        <v>9061</v>
      </c>
      <c r="H20" s="46">
        <f>'Kuala Pilah'!H55</f>
        <v>741</v>
      </c>
      <c r="I20" s="47">
        <f>'Kuala Pilah'!N55</f>
        <v>1512</v>
      </c>
      <c r="J20" s="47">
        <f>'Kuala Pilah'!T55</f>
        <v>5823</v>
      </c>
      <c r="K20" s="47">
        <f>'Kuala Pilah'!Z55</f>
        <v>5527</v>
      </c>
      <c r="L20" s="48">
        <f>'Kuala Pilah'!AF55</f>
        <v>4360</v>
      </c>
      <c r="M20" s="49">
        <f>'Kuala Pilah'!AL55</f>
        <v>0</v>
      </c>
      <c r="N20" s="50">
        <f>'Kuala Pilah'!AN51</f>
        <v>11974</v>
      </c>
      <c r="O20" s="51">
        <f>'Kuala Pilah'!AN52</f>
        <v>4585</v>
      </c>
      <c r="P20" s="52">
        <f>'Kuala Pilah'!AN53</f>
        <v>1403</v>
      </c>
      <c r="Q20" s="53">
        <f>'Kuala Pilah'!AN54</f>
        <v>1</v>
      </c>
    </row>
    <row r="21" spans="2:17" ht="16" customHeight="1">
      <c r="B21" s="10" t="s">
        <v>21</v>
      </c>
      <c r="C21" s="11" t="str">
        <f ca="1">INDEX('[1](2) Pengundi &amp; % Melayu'!$C$5:$C$40,MATCH($D21,'[1](2) Pengundi &amp; % Melayu'!$B$5:$B$40,0))</f>
        <v>Johol</v>
      </c>
      <c r="D21" s="15">
        <f ca="1">INDEX('[1](2) Pengundi &amp; % Melayu'!$D$5:$D$40,MATCH($D21,'[1](2) Pengundi &amp; % Melayu'!$B$5:$B$40,0))</f>
        <v>12359</v>
      </c>
      <c r="E21" s="17">
        <f ca="1">INDEX('[1](1) Majoriti'!$I$4:$I$39,MATCH($D21,'[1](1) Majoriti'!$B$4:$B$39,0))</f>
        <v>-2117</v>
      </c>
      <c r="F21" s="44">
        <f>'Kuala Pilah'!D69+'Kuala Pilah'!J69+'Kuala Pilah'!P69+'Kuala Pilah'!V69+'Kuala Pilah'!AB69+'Kuala Pilah'!AH69</f>
        <v>6206</v>
      </c>
      <c r="G21" s="45">
        <f>'Kuala Pilah'!F69+'Kuala Pilah'!L69+'Kuala Pilah'!R69+'Kuala Pilah'!X69+'Kuala Pilah'!AD69+'Kuala Pilah'!AJ69</f>
        <v>6153</v>
      </c>
      <c r="H21" s="46">
        <f>'Kuala Pilah'!H69</f>
        <v>463</v>
      </c>
      <c r="I21" s="47">
        <f>'Kuala Pilah'!N69</f>
        <v>1070</v>
      </c>
      <c r="J21" s="47">
        <f>'Kuala Pilah'!T69</f>
        <v>3624</v>
      </c>
      <c r="K21" s="47">
        <f>'Kuala Pilah'!Z69</f>
        <v>4283</v>
      </c>
      <c r="L21" s="48">
        <f>'Kuala Pilah'!AF69</f>
        <v>2919</v>
      </c>
      <c r="M21" s="49">
        <f>'Kuala Pilah'!AL69</f>
        <v>0</v>
      </c>
      <c r="N21" s="50">
        <f>'Kuala Pilah'!AN65</f>
        <v>9710</v>
      </c>
      <c r="O21" s="51">
        <f>'Kuala Pilah'!AN66</f>
        <v>1999</v>
      </c>
      <c r="P21" s="52">
        <f>'Kuala Pilah'!AN67</f>
        <v>650</v>
      </c>
      <c r="Q21" s="53">
        <f>'Kuala Pilah'!AN68</f>
        <v>0</v>
      </c>
    </row>
    <row r="22" spans="2:17" ht="16" customHeight="1">
      <c r="B22" s="10" t="s">
        <v>7</v>
      </c>
      <c r="C22" s="11" t="str">
        <f ca="1">INDEX('[1](2) Pengundi &amp; % Melayu'!$C$5:$C$40,MATCH($D22,'[1](2) Pengundi &amp; % Melayu'!$B$5:$B$40,0))</f>
        <v>Labu</v>
      </c>
      <c r="D22" s="15">
        <f ca="1">INDEX('[1](2) Pengundi &amp; % Melayu'!$D$5:$D$40,MATCH($D22,'[1](2) Pengundi &amp; % Melayu'!$B$5:$B$40,0))</f>
        <v>32575</v>
      </c>
      <c r="E22" s="18">
        <f ca="1">INDEX('[1](1) Majoriti'!$I$4:$I$39,MATCH($D22,'[1](1) Majoriti'!$B$4:$B$39,0))</f>
        <v>1640</v>
      </c>
      <c r="F22" s="44">
        <f>Rasah!D13+Rasah!J13+Rasah!P13+Rasah!V13+Rasah!AB13+Rasah!AH13</f>
        <v>16182</v>
      </c>
      <c r="G22" s="45">
        <f>Rasah!F13+Rasah!L13+Rasah!R13+Rasah!X13+Rasah!AD13+Rasah!AJ13</f>
        <v>16393</v>
      </c>
      <c r="H22" s="46">
        <f>Rasah!H13</f>
        <v>2320</v>
      </c>
      <c r="I22" s="47">
        <f>Rasah!N13</f>
        <v>4856</v>
      </c>
      <c r="J22" s="47">
        <f>Rasah!T13</f>
        <v>10995</v>
      </c>
      <c r="K22" s="47">
        <f>Rasah!Z13</f>
        <v>9648</v>
      </c>
      <c r="L22" s="48">
        <f>Rasah!AF13</f>
        <v>4756</v>
      </c>
      <c r="M22" s="49">
        <f>Rasah!AL13</f>
        <v>0</v>
      </c>
      <c r="N22" s="50">
        <f>Rasah!AN9</f>
        <v>25804</v>
      </c>
      <c r="O22" s="51">
        <f>Rasah!AN10</f>
        <v>2789</v>
      </c>
      <c r="P22" s="52">
        <f>Rasah!AN11</f>
        <v>3982</v>
      </c>
      <c r="Q22" s="53">
        <f>Rasah!AN12</f>
        <v>0</v>
      </c>
    </row>
    <row r="23" spans="2:17" ht="16" customHeight="1">
      <c r="B23" s="10" t="s">
        <v>39</v>
      </c>
      <c r="C23" s="11" t="str">
        <f ca="1">INDEX('[1](2) Pengundi &amp; % Melayu'!$C$5:$C$40,MATCH($D23,'[1](2) Pengundi &amp; % Melayu'!$B$5:$B$40,0))</f>
        <v>Bukit Kepayang</v>
      </c>
      <c r="D23" s="15">
        <f ca="1">INDEX('[1](2) Pengundi &amp; % Melayu'!$D$5:$D$40,MATCH($D23,'[1](2) Pengundi &amp; % Melayu'!$B$5:$B$40,0))</f>
        <v>49248</v>
      </c>
      <c r="E23" s="17">
        <f ca="1">INDEX('[1](1) Majoriti'!$I$4:$I$39,MATCH($D23,'[1](1) Majoriti'!$B$4:$B$39,0))</f>
        <v>-19684</v>
      </c>
      <c r="F23" s="44">
        <f>Rasah!D27+Rasah!J27+Rasah!P27+Rasah!V27+Rasah!AB27+Rasah!AH27</f>
        <v>24343</v>
      </c>
      <c r="G23" s="45">
        <f>Rasah!F27+Rasah!L27+Rasah!R27+Rasah!X27+Rasah!AD27+Rasah!AJ27</f>
        <v>24905</v>
      </c>
      <c r="H23" s="46">
        <f>Rasah!H27</f>
        <v>3379</v>
      </c>
      <c r="I23" s="47">
        <f>Rasah!N27</f>
        <v>6555</v>
      </c>
      <c r="J23" s="47">
        <f>Rasah!T27</f>
        <v>16240</v>
      </c>
      <c r="K23" s="47">
        <f>Rasah!Z27</f>
        <v>13636</v>
      </c>
      <c r="L23" s="48">
        <f>Rasah!AF27</f>
        <v>9438</v>
      </c>
      <c r="M23" s="49">
        <f>Rasah!AL27</f>
        <v>0</v>
      </c>
      <c r="N23" s="50">
        <f>Rasah!AN23</f>
        <v>14655</v>
      </c>
      <c r="O23" s="51">
        <f>Rasah!AN24</f>
        <v>24973</v>
      </c>
      <c r="P23" s="52">
        <f>Rasah!AN25</f>
        <v>9573</v>
      </c>
      <c r="Q23" s="53">
        <f>Rasah!AN26</f>
        <v>47</v>
      </c>
    </row>
    <row r="24" spans="2:17" ht="16" customHeight="1">
      <c r="B24" s="10" t="s">
        <v>31</v>
      </c>
      <c r="C24" s="11" t="str">
        <f ca="1">INDEX('[1](2) Pengundi &amp; % Melayu'!$C$5:$C$40,MATCH($D24,'[1](2) Pengundi &amp; % Melayu'!$B$5:$B$40,0))</f>
        <v>Rahang</v>
      </c>
      <c r="D24" s="15">
        <f ca="1">INDEX('[1](2) Pengundi &amp; % Melayu'!$D$5:$D$40,MATCH($D24,'[1](2) Pengundi &amp; % Melayu'!$B$5:$B$40,0))</f>
        <v>19608</v>
      </c>
      <c r="E24" s="17">
        <f ca="1">INDEX('[1](1) Majoriti'!$I$4:$I$39,MATCH($D24,'[1](1) Majoriti'!$B$4:$B$39,0))</f>
        <v>-6432</v>
      </c>
      <c r="F24" s="44">
        <f>Rasah!D41+Rasah!J41+Rasah!P41+Rasah!V41+Rasah!AB41+Rasah!AH41</f>
        <v>9835</v>
      </c>
      <c r="G24" s="45">
        <f>Rasah!F41+Rasah!L41+Rasah!R41+Rasah!X41+Rasah!AD41+Rasah!AJ41</f>
        <v>9773</v>
      </c>
      <c r="H24" s="46">
        <f>Rasah!H41</f>
        <v>484</v>
      </c>
      <c r="I24" s="47">
        <f>Rasah!N41</f>
        <v>1119</v>
      </c>
      <c r="J24" s="47">
        <f>Rasah!T41</f>
        <v>5053</v>
      </c>
      <c r="K24" s="47">
        <f>Rasah!Z41</f>
        <v>6541</v>
      </c>
      <c r="L24" s="48">
        <f>Rasah!AF41</f>
        <v>6411</v>
      </c>
      <c r="M24" s="49">
        <f>Rasah!AL41</f>
        <v>0</v>
      </c>
      <c r="N24" s="50">
        <f>Rasah!AN37</f>
        <v>6476</v>
      </c>
      <c r="O24" s="51">
        <f>Rasah!AN38</f>
        <v>9103</v>
      </c>
      <c r="P24" s="52">
        <f>Rasah!AN39</f>
        <v>4019</v>
      </c>
      <c r="Q24" s="53">
        <f>Rasah!AN40</f>
        <v>10</v>
      </c>
    </row>
    <row r="25" spans="2:17" ht="16" customHeight="1">
      <c r="B25" s="10" t="s">
        <v>38</v>
      </c>
      <c r="C25" s="11" t="str">
        <f ca="1">INDEX('[1](2) Pengundi &amp; % Melayu'!$C$5:$C$40,MATCH($D25,'[1](2) Pengundi &amp; % Melayu'!$B$5:$B$40,0))</f>
        <v>Mambau</v>
      </c>
      <c r="D25" s="15">
        <f ca="1">INDEX('[1](2) Pengundi &amp; % Melayu'!$D$5:$D$40,MATCH($D25,'[1](2) Pengundi &amp; % Melayu'!$B$5:$B$40,0))</f>
        <v>30316</v>
      </c>
      <c r="E25" s="17">
        <f ca="1">INDEX('[1](1) Majoriti'!$I$4:$I$39,MATCH($D25,'[1](1) Majoriti'!$B$4:$B$39,0))</f>
        <v>-14940</v>
      </c>
      <c r="F25" s="44">
        <f>Rasah!D55+Rasah!J55+Rasah!P55+Rasah!V55+Rasah!AB55+Rasah!AH55</f>
        <v>14760</v>
      </c>
      <c r="G25" s="45">
        <f>Rasah!F55+Rasah!L55+Rasah!R55+Rasah!X55+Rasah!AD55+Rasah!AJ55</f>
        <v>15556</v>
      </c>
      <c r="H25" s="46">
        <f>Rasah!H55</f>
        <v>1202</v>
      </c>
      <c r="I25" s="47">
        <f>Rasah!N55</f>
        <v>2442</v>
      </c>
      <c r="J25" s="47">
        <f>Rasah!T55</f>
        <v>9325</v>
      </c>
      <c r="K25" s="47">
        <f>Rasah!Z55</f>
        <v>10415</v>
      </c>
      <c r="L25" s="48">
        <f>Rasah!AF55</f>
        <v>6932</v>
      </c>
      <c r="M25" s="49">
        <f>Rasah!AL55</f>
        <v>0</v>
      </c>
      <c r="N25" s="50">
        <f>Rasah!AN51</f>
        <v>4581</v>
      </c>
      <c r="O25" s="51">
        <f>Rasah!AN52</f>
        <v>18457</v>
      </c>
      <c r="P25" s="52">
        <f>Rasah!AN53</f>
        <v>7256</v>
      </c>
      <c r="Q25" s="53">
        <f>Rasah!AN54</f>
        <v>22</v>
      </c>
    </row>
    <row r="26" spans="2:17" ht="16" customHeight="1">
      <c r="B26" s="10" t="s">
        <v>36</v>
      </c>
      <c r="C26" s="11" t="str">
        <f ca="1">INDEX('[1](2) Pengundi &amp; % Melayu'!$C$5:$C$40,MATCH($D26,'[1](2) Pengundi &amp; % Melayu'!$B$5:$B$40,0))</f>
        <v>Seremban Jaya</v>
      </c>
      <c r="D26" s="15">
        <f ca="1">INDEX('[1](2) Pengundi &amp; % Melayu'!$D$5:$D$40,MATCH($D26,'[1](2) Pengundi &amp; % Melayu'!$B$5:$B$40,0))</f>
        <v>32899</v>
      </c>
      <c r="E26" s="17">
        <f ca="1">INDEX('[1](1) Majoriti'!$I$4:$I$39,MATCH($D26,'[1](1) Majoriti'!$B$4:$B$39,0))</f>
        <v>-12703</v>
      </c>
      <c r="F26" s="44">
        <f>Rasah!D69+Rasah!J69+Rasah!P69+Rasah!V69+Rasah!AB69+Rasah!AH69</f>
        <v>16018</v>
      </c>
      <c r="G26" s="45">
        <f>Rasah!F69+Rasah!L69+Rasah!R69+Rasah!X69+Rasah!AD69+Rasah!AJ69</f>
        <v>16881</v>
      </c>
      <c r="H26" s="46">
        <f>Rasah!H69</f>
        <v>1713</v>
      </c>
      <c r="I26" s="47">
        <f>Rasah!N69</f>
        <v>3840</v>
      </c>
      <c r="J26" s="47">
        <f>Rasah!T69</f>
        <v>11340</v>
      </c>
      <c r="K26" s="47">
        <f>Rasah!Z69</f>
        <v>10250</v>
      </c>
      <c r="L26" s="48">
        <f>Rasah!AF69</f>
        <v>5756</v>
      </c>
      <c r="M26" s="49">
        <f>Rasah!AL69</f>
        <v>0</v>
      </c>
      <c r="N26" s="50">
        <f>Rasah!AN65</f>
        <v>8781</v>
      </c>
      <c r="O26" s="51">
        <f>Rasah!AN66</f>
        <v>15456</v>
      </c>
      <c r="P26" s="52">
        <f>Rasah!AN67</f>
        <v>8654</v>
      </c>
      <c r="Q26" s="53">
        <f>Rasah!AN68</f>
        <v>8</v>
      </c>
    </row>
    <row r="27" spans="2:17" ht="16" customHeight="1">
      <c r="B27" s="10" t="s">
        <v>4</v>
      </c>
      <c r="C27" s="11" t="str">
        <f ca="1">INDEX('[1](2) Pengundi &amp; % Melayu'!$C$5:$C$40,MATCH($D27,'[1](2) Pengundi &amp; % Melayu'!$B$5:$B$40,0))</f>
        <v>Paroi</v>
      </c>
      <c r="D27" s="15">
        <f ca="1">INDEX('[1](2) Pengundi &amp; % Melayu'!$D$5:$D$40,MATCH($D27,'[1](2) Pengundi &amp; % Melayu'!$B$5:$B$40,0))</f>
        <v>64582</v>
      </c>
      <c r="E27" s="18">
        <f ca="1">INDEX('[1](1) Majoriti'!$I$4:$I$39,MATCH($D27,'[1](1) Majoriti'!$B$4:$B$39,0))</f>
        <v>5539</v>
      </c>
      <c r="F27" s="44">
        <f>Rembau!D13+Rembau!J13+Rembau!P13+Rembau!V13+Rembau!AB13+Rembau!AH13</f>
        <v>31646</v>
      </c>
      <c r="G27" s="45">
        <f>Rembau!F13+Rembau!L13+Rembau!R13+Rembau!X13+Rembau!AD13+Rembau!AJ13</f>
        <v>32936</v>
      </c>
      <c r="H27" s="46">
        <f>Rembau!H13</f>
        <v>4342</v>
      </c>
      <c r="I27" s="47">
        <f>Rembau!N13</f>
        <v>9142</v>
      </c>
      <c r="J27" s="47">
        <f>Rembau!T13</f>
        <v>24101</v>
      </c>
      <c r="K27" s="47">
        <f>Rembau!Z13</f>
        <v>17835</v>
      </c>
      <c r="L27" s="48">
        <f>Rembau!AF13</f>
        <v>9162</v>
      </c>
      <c r="M27" s="49">
        <f>Rembau!AL13</f>
        <v>0</v>
      </c>
      <c r="N27" s="50">
        <f>Rembau!AN9</f>
        <v>51602</v>
      </c>
      <c r="O27" s="51">
        <f>Rembau!AN10</f>
        <v>4406</v>
      </c>
      <c r="P27" s="52">
        <f>Rembau!AN11</f>
        <v>8570</v>
      </c>
      <c r="Q27" s="53">
        <f>Rembau!AN12</f>
        <v>4</v>
      </c>
    </row>
    <row r="28" spans="2:17" ht="16" customHeight="1">
      <c r="B28" s="10" t="s">
        <v>28</v>
      </c>
      <c r="C28" s="11" t="str">
        <f ca="1">INDEX('[1](2) Pengundi &amp; % Melayu'!$C$5:$C$40,MATCH($D28,'[1](2) Pengundi &amp; % Melayu'!$B$5:$B$40,0))</f>
        <v>Chembong</v>
      </c>
      <c r="D28" s="15">
        <f ca="1">INDEX('[1](2) Pengundi &amp; % Melayu'!$D$5:$D$40,MATCH($D28,'[1](2) Pengundi &amp; % Melayu'!$B$5:$B$40,0))</f>
        <v>26440</v>
      </c>
      <c r="E28" s="17">
        <f ca="1">INDEX('[1](1) Majoriti'!$I$4:$I$39,MATCH($D28,'[1](1) Majoriti'!$B$4:$B$39,0))</f>
        <v>-4335</v>
      </c>
      <c r="F28" s="44">
        <f>Rembau!D27+Rembau!J27+Rembau!P27+Rembau!V27+Rembau!AB27+Rembau!AH27</f>
        <v>12843</v>
      </c>
      <c r="G28" s="45">
        <f>Rembau!F27+Rembau!L27+Rembau!R27+Rembau!X27+Rembau!AD27+Rembau!AJ27</f>
        <v>13597</v>
      </c>
      <c r="H28" s="46">
        <f>Rembau!H27</f>
        <v>1368</v>
      </c>
      <c r="I28" s="47">
        <f>Rembau!N27</f>
        <v>2989</v>
      </c>
      <c r="J28" s="47">
        <f>Rembau!T27</f>
        <v>9108</v>
      </c>
      <c r="K28" s="47">
        <f>Rembau!Z27</f>
        <v>7781</v>
      </c>
      <c r="L28" s="48">
        <f>Rembau!AF27</f>
        <v>5194</v>
      </c>
      <c r="M28" s="49">
        <f>Rembau!AL27</f>
        <v>0</v>
      </c>
      <c r="N28" s="50">
        <f>Rembau!AN23</f>
        <v>22157</v>
      </c>
      <c r="O28" s="51">
        <f>Rembau!AN24</f>
        <v>1868</v>
      </c>
      <c r="P28" s="52">
        <f>Rembau!AN25</f>
        <v>2414</v>
      </c>
      <c r="Q28" s="53">
        <f>Rembau!AN26</f>
        <v>1</v>
      </c>
    </row>
    <row r="29" spans="2:17" ht="16" customHeight="1">
      <c r="B29" s="10" t="s">
        <v>34</v>
      </c>
      <c r="C29" s="11" t="str">
        <f ca="1">INDEX('[1](2) Pengundi &amp; % Melayu'!$C$5:$C$40,MATCH($D29,'[1](2) Pengundi &amp; % Melayu'!$B$5:$B$40,0))</f>
        <v>Rantau</v>
      </c>
      <c r="D29" s="15">
        <f ca="1">INDEX('[1](2) Pengundi &amp; % Melayu'!$D$5:$D$40,MATCH($D29,'[1](2) Pengundi &amp; % Melayu'!$B$5:$B$40,0))</f>
        <v>34636</v>
      </c>
      <c r="E29" s="17">
        <f ca="1">INDEX('[1](1) Majoriti'!$I$4:$I$39,MATCH($D29,'[1](1) Majoriti'!$B$4:$B$39,0))</f>
        <v>-10280</v>
      </c>
      <c r="F29" s="44">
        <f>Rembau!D41+Rembau!J41+Rembau!P41+Rembau!V41+Rembau!AB41+Rembau!AH41</f>
        <v>17303</v>
      </c>
      <c r="G29" s="45">
        <f>Rembau!F41+Rembau!L41+Rembau!R41+Rembau!X41+Rembau!AD41+Rembau!AJ41</f>
        <v>17333</v>
      </c>
      <c r="H29" s="46">
        <f>Rembau!H41</f>
        <v>2004</v>
      </c>
      <c r="I29" s="47">
        <f>Rembau!N41</f>
        <v>3731</v>
      </c>
      <c r="J29" s="47">
        <f>Rembau!T41</f>
        <v>11604</v>
      </c>
      <c r="K29" s="47">
        <f>Rembau!Z41</f>
        <v>11279</v>
      </c>
      <c r="L29" s="48">
        <f>Rembau!AF41</f>
        <v>6018</v>
      </c>
      <c r="M29" s="49">
        <f>Rembau!AL41</f>
        <v>0</v>
      </c>
      <c r="N29" s="50">
        <f>Rembau!AN37</f>
        <v>20086</v>
      </c>
      <c r="O29" s="51">
        <f>Rembau!AN38</f>
        <v>5690</v>
      </c>
      <c r="P29" s="52">
        <f>Rembau!AN39</f>
        <v>8852</v>
      </c>
      <c r="Q29" s="53">
        <f>Rembau!AN40</f>
        <v>8</v>
      </c>
    </row>
    <row r="30" spans="2:17" ht="16" customHeight="1">
      <c r="B30" s="10" t="s">
        <v>10</v>
      </c>
      <c r="C30" s="11" t="str">
        <f ca="1">INDEX('[1](2) Pengundi &amp; % Melayu'!$C$5:$C$40,MATCH($D30,'[1](2) Pengundi &amp; % Melayu'!$B$5:$B$40,0))</f>
        <v>Kota</v>
      </c>
      <c r="D30" s="15">
        <f ca="1">INDEX('[1](2) Pengundi &amp; % Melayu'!$D$5:$D$40,MATCH($D30,'[1](2) Pengundi &amp; % Melayu'!$B$5:$B$40,0))</f>
        <v>16730</v>
      </c>
      <c r="E30" s="17">
        <f ca="1">INDEX('[1](1) Majoriti'!$I$4:$I$39,MATCH($D30,'[1](1) Majoriti'!$B$4:$B$39,0))</f>
        <v>-135</v>
      </c>
      <c r="F30" s="44">
        <f>Rembau!D55+Rembau!J55+Rembau!P55+Rembau!V55+Rembau!AB55+Rembau!AH55</f>
        <v>8186</v>
      </c>
      <c r="G30" s="45">
        <f>Rembau!F55+Rembau!L55+Rembau!R55+Rembau!X55+Rembau!AD55+Rembau!AJ55</f>
        <v>8544</v>
      </c>
      <c r="H30" s="46">
        <f>Rembau!H55</f>
        <v>706</v>
      </c>
      <c r="I30" s="47">
        <f>Rembau!N55</f>
        <v>1343</v>
      </c>
      <c r="J30" s="47">
        <f>Rembau!T55</f>
        <v>4978</v>
      </c>
      <c r="K30" s="47">
        <f>Rembau!Z55</f>
        <v>5587</v>
      </c>
      <c r="L30" s="48">
        <f>Rembau!AF55</f>
        <v>4116</v>
      </c>
      <c r="M30" s="49">
        <f>Rembau!AL55</f>
        <v>0</v>
      </c>
      <c r="N30" s="50">
        <f>Rembau!AN51</f>
        <v>14821</v>
      </c>
      <c r="O30" s="51">
        <f>Rembau!AN52</f>
        <v>1167</v>
      </c>
      <c r="P30" s="52">
        <f>Rembau!AN53</f>
        <v>742</v>
      </c>
      <c r="Q30" s="53">
        <f>Rembau!AN54</f>
        <v>0</v>
      </c>
    </row>
    <row r="31" spans="2:17" ht="16" customHeight="1">
      <c r="B31" s="10" t="s">
        <v>30</v>
      </c>
      <c r="C31" s="11" t="str">
        <f ca="1">INDEX('[1](2) Pengundi &amp; % Melayu'!$C$5:$C$40,MATCH($D31,'[1](2) Pengundi &amp; % Melayu'!$B$5:$B$40,0))</f>
        <v>Chuah</v>
      </c>
      <c r="D31" s="15">
        <f ca="1">INDEX('[1](2) Pengundi &amp; % Melayu'!$D$5:$D$40,MATCH($D31,'[1](2) Pengundi &amp; % Melayu'!$B$5:$B$40,0))</f>
        <v>15141</v>
      </c>
      <c r="E31" s="17">
        <f ca="1">INDEX('[1](1) Majoriti'!$I$4:$I$39,MATCH($D31,'[1](1) Majoriti'!$B$4:$B$39,0))</f>
        <v>-6298</v>
      </c>
      <c r="F31" s="44">
        <f>'Port Dickson'!D13+'Port Dickson'!J13+'Port Dickson'!P13+'Port Dickson'!V13+'Port Dickson'!AB13+'Port Dickson'!AH13</f>
        <v>7703</v>
      </c>
      <c r="G31" s="45">
        <f>'Port Dickson'!F13+'Port Dickson'!L13+'Port Dickson'!R13+'Port Dickson'!X13+'Port Dickson'!AD13+'Port Dickson'!AJ13</f>
        <v>7438</v>
      </c>
      <c r="H31" s="46">
        <f>'Port Dickson'!H13</f>
        <v>598</v>
      </c>
      <c r="I31" s="47">
        <f>'Port Dickson'!N13</f>
        <v>1212</v>
      </c>
      <c r="J31" s="47">
        <f>'Port Dickson'!T13</f>
        <v>4324</v>
      </c>
      <c r="K31" s="47">
        <f>'Port Dickson'!Z13</f>
        <v>5450</v>
      </c>
      <c r="L31" s="48">
        <f>'Port Dickson'!AF13</f>
        <v>3557</v>
      </c>
      <c r="M31" s="49">
        <f>'Port Dickson'!AL13</f>
        <v>0</v>
      </c>
      <c r="N31" s="50">
        <f>'Port Dickson'!AN9</f>
        <v>3831</v>
      </c>
      <c r="O31" s="51">
        <f>'Port Dickson'!AN10</f>
        <v>8186</v>
      </c>
      <c r="P31" s="52">
        <f>'Port Dickson'!AN11</f>
        <v>3123</v>
      </c>
      <c r="Q31" s="53">
        <f>'Port Dickson'!AN12</f>
        <v>1</v>
      </c>
    </row>
    <row r="32" spans="2:17" ht="16" customHeight="1">
      <c r="B32" s="10" t="s">
        <v>33</v>
      </c>
      <c r="C32" s="11" t="str">
        <f ca="1">INDEX('[1](2) Pengundi &amp; % Melayu'!$C$5:$C$40,MATCH($D32,'[1](2) Pengundi &amp; % Melayu'!$B$5:$B$40,0))</f>
        <v>Lukut</v>
      </c>
      <c r="D32" s="15">
        <f ca="1">INDEX('[1](2) Pengundi &amp; % Melayu'!$D$5:$D$40,MATCH($D32,'[1](2) Pengundi &amp; % Melayu'!$B$5:$B$40,0))</f>
        <v>28010</v>
      </c>
      <c r="E32" s="17">
        <f ca="1">INDEX('[1](1) Majoriti'!$I$4:$I$39,MATCH($D32,'[1](1) Majoriti'!$B$4:$B$39,0))</f>
        <v>-10135</v>
      </c>
      <c r="F32" s="44">
        <f>'Port Dickson'!D27+'Port Dickson'!J27+'Port Dickson'!P27+'Port Dickson'!V27+'Port Dickson'!AB27+'Port Dickson'!AH27</f>
        <v>13919</v>
      </c>
      <c r="G32" s="45">
        <f>'Port Dickson'!F27+'Port Dickson'!L27+'Port Dickson'!R27+'Port Dickson'!X27+'Port Dickson'!AD27+'Port Dickson'!AJ27</f>
        <v>14091</v>
      </c>
      <c r="H32" s="46">
        <f>'Port Dickson'!H27</f>
        <v>1522</v>
      </c>
      <c r="I32" s="47">
        <f>'Port Dickson'!N27</f>
        <v>3222</v>
      </c>
      <c r="J32" s="47">
        <f>'Port Dickson'!T27</f>
        <v>9589</v>
      </c>
      <c r="K32" s="47">
        <f>'Port Dickson'!Z27</f>
        <v>8970</v>
      </c>
      <c r="L32" s="48">
        <f>'Port Dickson'!AF27</f>
        <v>4707</v>
      </c>
      <c r="M32" s="49">
        <f>'Port Dickson'!AL27</f>
        <v>0</v>
      </c>
      <c r="N32" s="50">
        <f>'Port Dickson'!AN23</f>
        <v>7292</v>
      </c>
      <c r="O32" s="51">
        <f>'Port Dickson'!AN24</f>
        <v>13762</v>
      </c>
      <c r="P32" s="52">
        <f>'Port Dickson'!AN25</f>
        <v>6949</v>
      </c>
      <c r="Q32" s="53">
        <f>'Port Dickson'!AN26</f>
        <v>7</v>
      </c>
    </row>
    <row r="33" spans="2:17" ht="16" customHeight="1">
      <c r="B33" s="10" t="s">
        <v>5</v>
      </c>
      <c r="C33" s="11" t="str">
        <f ca="1">INDEX('[1](2) Pengundi &amp; % Melayu'!$C$5:$C$40,MATCH($D33,'[1](2) Pengundi &amp; % Melayu'!$B$5:$B$40,0))</f>
        <v>Bagan Pinang</v>
      </c>
      <c r="D33" s="15">
        <f ca="1">INDEX('[1](2) Pengundi &amp; % Melayu'!$D$5:$D$40,MATCH($D33,'[1](2) Pengundi &amp; % Melayu'!$B$5:$B$40,0))</f>
        <v>27926</v>
      </c>
      <c r="E33" s="18">
        <f ca="1">INDEX('[1](1) Majoriti'!$I$4:$I$39,MATCH($D33,'[1](1) Majoriti'!$B$4:$B$39,0))</f>
        <v>3426</v>
      </c>
      <c r="F33" s="44">
        <f>'Port Dickson'!D41+'Port Dickson'!J41+'Port Dickson'!P41+'Port Dickson'!V41+'Port Dickson'!AB41+'Port Dickson'!AH41</f>
        <v>16389</v>
      </c>
      <c r="G33" s="45">
        <f>'Port Dickson'!F41+'Port Dickson'!L41+'Port Dickson'!R41+'Port Dickson'!X41+'Port Dickson'!AD41+'Port Dickson'!AJ41</f>
        <v>11537</v>
      </c>
      <c r="H33" s="46">
        <f>'Port Dickson'!H41</f>
        <v>2637</v>
      </c>
      <c r="I33" s="47">
        <f>'Port Dickson'!N41</f>
        <v>5842</v>
      </c>
      <c r="J33" s="47">
        <f>'Port Dickson'!T41</f>
        <v>9444</v>
      </c>
      <c r="K33" s="47">
        <f>'Port Dickson'!Z41</f>
        <v>6643</v>
      </c>
      <c r="L33" s="48">
        <f>'Port Dickson'!AF41</f>
        <v>3360</v>
      </c>
      <c r="M33" s="49">
        <f>'Port Dickson'!AL41</f>
        <v>0</v>
      </c>
      <c r="N33" s="50">
        <f>'Port Dickson'!AN37</f>
        <v>22064</v>
      </c>
      <c r="O33" s="51">
        <f>'Port Dickson'!AN38</f>
        <v>3373</v>
      </c>
      <c r="P33" s="52">
        <f>'Port Dickson'!AN39</f>
        <v>2488</v>
      </c>
      <c r="Q33" s="53">
        <f>'Port Dickson'!AN40</f>
        <v>1</v>
      </c>
    </row>
    <row r="34" spans="2:17" ht="16" customHeight="1">
      <c r="B34" s="10" t="s">
        <v>20</v>
      </c>
      <c r="C34" s="11" t="str">
        <f ca="1">INDEX('[1](2) Pengundi &amp; % Melayu'!$C$5:$C$40,MATCH($D34,'[1](2) Pengundi &amp; % Melayu'!$B$5:$B$40,0))</f>
        <v>Linggi</v>
      </c>
      <c r="D34" s="15">
        <f ca="1">INDEX('[1](2) Pengundi &amp; % Melayu'!$D$5:$D$40,MATCH($D34,'[1](2) Pengundi &amp; % Melayu'!$B$5:$B$40,0))</f>
        <v>20768</v>
      </c>
      <c r="E34" s="17">
        <f ca="1">INDEX('[1](1) Majoriti'!$I$4:$I$39,MATCH($D34,'[1](1) Majoriti'!$B$4:$B$39,0))</f>
        <v>-1461</v>
      </c>
      <c r="F34" s="44">
        <f>'Port Dickson'!D55+'Port Dickson'!J55+'Port Dickson'!P55+'Port Dickson'!V55+'Port Dickson'!AB55+'Port Dickson'!AH55</f>
        <v>10582</v>
      </c>
      <c r="G34" s="45">
        <f>'Port Dickson'!F55+'Port Dickson'!L55+'Port Dickson'!R55+'Port Dickson'!X55+'Port Dickson'!AD55+'Port Dickson'!AJ55</f>
        <v>10186</v>
      </c>
      <c r="H34" s="46">
        <f>'Port Dickson'!H55</f>
        <v>735</v>
      </c>
      <c r="I34" s="47">
        <f>'Port Dickson'!N55</f>
        <v>1736</v>
      </c>
      <c r="J34" s="47">
        <f>'Port Dickson'!T55</f>
        <v>7351</v>
      </c>
      <c r="K34" s="47">
        <f>'Port Dickson'!Z55</f>
        <v>6934</v>
      </c>
      <c r="L34" s="48">
        <f>'Port Dickson'!AF55</f>
        <v>4012</v>
      </c>
      <c r="M34" s="49">
        <f>'Port Dickson'!AL55</f>
        <v>0</v>
      </c>
      <c r="N34" s="50">
        <f>'Port Dickson'!AN51</f>
        <v>13537</v>
      </c>
      <c r="O34" s="51">
        <f>'Port Dickson'!AN52</f>
        <v>3784</v>
      </c>
      <c r="P34" s="52">
        <f>'Port Dickson'!AN53</f>
        <v>3447</v>
      </c>
      <c r="Q34" s="53">
        <f>'Port Dickson'!AN54</f>
        <v>0</v>
      </c>
    </row>
    <row r="35" spans="2:17" ht="16" customHeight="1">
      <c r="B35" s="10" t="s">
        <v>27</v>
      </c>
      <c r="C35" s="11" t="str">
        <f ca="1">INDEX('[1](2) Pengundi &amp; % Melayu'!$C$5:$C$40,MATCH($D35,'[1](2) Pengundi &amp; % Melayu'!$B$5:$B$40,0))</f>
        <v>Sri Tanjung</v>
      </c>
      <c r="D35" s="15">
        <f ca="1">INDEX('[1](2) Pengundi &amp; % Melayu'!$D$5:$D$40,MATCH($D35,'[1](2) Pengundi &amp; % Melayu'!$B$5:$B$40,0))</f>
        <v>19585</v>
      </c>
      <c r="E35" s="17">
        <f ca="1">INDEX('[1](1) Majoriti'!$I$4:$I$39,MATCH($D35,'[1](1) Majoriti'!$B$4:$B$39,0))</f>
        <v>-3996</v>
      </c>
      <c r="F35" s="44">
        <f>'Port Dickson'!D69+'Port Dickson'!J69+'Port Dickson'!P69+'Port Dickson'!V69+'Port Dickson'!AB69+'Port Dickson'!AH69</f>
        <v>9706</v>
      </c>
      <c r="G35" s="45">
        <f>'Port Dickson'!F69+'Port Dickson'!L69+'Port Dickson'!R69+'Port Dickson'!X69+'Port Dickson'!AD69+'Port Dickson'!AJ69</f>
        <v>9879</v>
      </c>
      <c r="H35" s="46">
        <f>'Port Dickson'!H69</f>
        <v>774</v>
      </c>
      <c r="I35" s="47">
        <f>'Port Dickson'!N69</f>
        <v>1722</v>
      </c>
      <c r="J35" s="47">
        <f>'Port Dickson'!T69</f>
        <v>6097</v>
      </c>
      <c r="K35" s="47">
        <f>'Port Dickson'!Z69</f>
        <v>6214</v>
      </c>
      <c r="L35" s="48">
        <f>'Port Dickson'!AF69</f>
        <v>4778</v>
      </c>
      <c r="M35" s="49">
        <f>'Port Dickson'!AL69</f>
        <v>0</v>
      </c>
      <c r="N35" s="50">
        <f>'Port Dickson'!AN65</f>
        <v>8316</v>
      </c>
      <c r="O35" s="51">
        <f>'Port Dickson'!AN66</f>
        <v>6453</v>
      </c>
      <c r="P35" s="52">
        <f>'Port Dickson'!AN67</f>
        <v>4810</v>
      </c>
      <c r="Q35" s="53">
        <f>'Port Dickson'!AN68</f>
        <v>6</v>
      </c>
    </row>
    <row r="36" spans="2:17" ht="16" customHeight="1">
      <c r="B36" s="10" t="s">
        <v>6</v>
      </c>
      <c r="C36" s="11" t="str">
        <f ca="1">INDEX('[1](2) Pengundi &amp; % Melayu'!$C$5:$C$40,MATCH($D36,'[1](2) Pengundi &amp; % Melayu'!$B$5:$B$40,0))</f>
        <v>Gemas</v>
      </c>
      <c r="D36" s="15">
        <f ca="1">INDEX('[1](2) Pengundi &amp; % Melayu'!$D$5:$D$40,MATCH($D36,'[1](2) Pengundi &amp; % Melayu'!$B$5:$B$40,0))</f>
        <v>29235</v>
      </c>
      <c r="E36" s="18">
        <f ca="1">INDEX('[1](1) Majoriti'!$I$4:$I$39,MATCH($D36,'[1](1) Majoriti'!$B$4:$B$39,0))</f>
        <v>3120</v>
      </c>
      <c r="F36" s="44">
        <f>Tampin!D13+Tampin!J13+Tampin!P13+Tampin!V13+Tampin!AB13+Tampin!AH13</f>
        <v>15101</v>
      </c>
      <c r="G36" s="45">
        <f>Tampin!F13+Tampin!L13+Tampin!R13+Tampin!X13+Tampin!AD13+Tampin!AJ13</f>
        <v>14134</v>
      </c>
      <c r="H36" s="46">
        <f>Tampin!H13</f>
        <v>1097</v>
      </c>
      <c r="I36" s="47">
        <f>Tampin!N13</f>
        <v>2550</v>
      </c>
      <c r="J36" s="47">
        <f>Tampin!T13</f>
        <v>11858</v>
      </c>
      <c r="K36" s="47">
        <f>Tampin!Z13</f>
        <v>8919</v>
      </c>
      <c r="L36" s="48">
        <f>Tampin!AF13</f>
        <v>4811</v>
      </c>
      <c r="M36" s="49">
        <f>Tampin!AL13</f>
        <v>0</v>
      </c>
      <c r="N36" s="50">
        <f>Tampin!AN9</f>
        <v>24851</v>
      </c>
      <c r="O36" s="51">
        <f>Tampin!AN10</f>
        <v>3038</v>
      </c>
      <c r="P36" s="52">
        <f>Tampin!AN11</f>
        <v>1346</v>
      </c>
      <c r="Q36" s="53">
        <f>Tampin!AN12</f>
        <v>0</v>
      </c>
    </row>
    <row r="37" spans="2:17" ht="16" customHeight="1">
      <c r="B37" s="10" t="s">
        <v>23</v>
      </c>
      <c r="C37" s="11" t="str">
        <f ca="1">INDEX('[1](2) Pengundi &amp; % Melayu'!$C$5:$C$40,MATCH($D37,'[1](2) Pengundi &amp; % Melayu'!$B$5:$B$40,0))</f>
        <v>Gemencheh</v>
      </c>
      <c r="D37" s="15">
        <f ca="1">INDEX('[1](2) Pengundi &amp; % Melayu'!$D$5:$D$40,MATCH($D37,'[1](2) Pengundi &amp; % Melayu'!$B$5:$B$40,0))</f>
        <v>24878</v>
      </c>
      <c r="E37" s="17">
        <f ca="1">INDEX('[1](1) Majoriti'!$I$4:$I$39,MATCH($D37,'[1](1) Majoriti'!$B$4:$B$39,0))</f>
        <v>-2434</v>
      </c>
      <c r="F37" s="44">
        <f>Tampin!D27+Tampin!J27+Tampin!P27+Tampin!V27+Tampin!AB27+Tampin!AH27</f>
        <v>12464</v>
      </c>
      <c r="G37" s="45">
        <f>Tampin!F27+Tampin!L27+Tampin!R27+Tampin!X27+Tampin!AD27+Tampin!AJ27</f>
        <v>12414</v>
      </c>
      <c r="H37" s="46">
        <f>Tampin!H27</f>
        <v>1111</v>
      </c>
      <c r="I37" s="47">
        <f>Tampin!N27</f>
        <v>2179</v>
      </c>
      <c r="J37" s="47">
        <f>Tampin!T27</f>
        <v>7774</v>
      </c>
      <c r="K37" s="47">
        <f>Tampin!Z27</f>
        <v>8558</v>
      </c>
      <c r="L37" s="48">
        <f>Tampin!AF27</f>
        <v>5256</v>
      </c>
      <c r="M37" s="49">
        <f>Tampin!AL27</f>
        <v>0</v>
      </c>
      <c r="N37" s="50">
        <f>Tampin!AN23</f>
        <v>15768</v>
      </c>
      <c r="O37" s="51">
        <f>Tampin!AN24</f>
        <v>5510</v>
      </c>
      <c r="P37" s="52">
        <f>Tampin!AN25</f>
        <v>3600</v>
      </c>
      <c r="Q37" s="53">
        <f>Tampin!AN26</f>
        <v>0</v>
      </c>
    </row>
    <row r="38" spans="2:17" ht="16" customHeight="1" thickBot="1">
      <c r="B38" s="13" t="s">
        <v>29</v>
      </c>
      <c r="C38" s="14" t="str">
        <f ca="1">INDEX('[1](2) Pengundi &amp; % Melayu'!$C$5:$C$40,MATCH($D38,'[1](2) Pengundi &amp; % Melayu'!$B$5:$B$40,0))</f>
        <v>Repah</v>
      </c>
      <c r="D38" s="16">
        <f ca="1">INDEX('[1](2) Pengundi &amp; % Melayu'!$D$5:$D$40,MATCH($D38,'[1](2) Pengundi &amp; % Melayu'!$B$5:$B$40,0))</f>
        <v>27830</v>
      </c>
      <c r="E38" s="19">
        <f ca="1">INDEX('[1](1) Majoriti'!$I$4:$I$39,MATCH($D38,'[1](1) Majoriti'!$B$4:$B$39,0))</f>
        <v>-5950</v>
      </c>
      <c r="F38" s="54">
        <f>Tampin!D41+Tampin!J41+Tampin!P41+Tampin!V41+Tampin!AB41+Tampin!AH41</f>
        <v>13734</v>
      </c>
      <c r="G38" s="55">
        <f>Tampin!F41+Tampin!L41+Tampin!R41+Tampin!X41+Tampin!AD41+Tampin!AJ41</f>
        <v>14096</v>
      </c>
      <c r="H38" s="56">
        <f>Tampin!H41</f>
        <v>1119</v>
      </c>
      <c r="I38" s="57">
        <f>Tampin!N41</f>
        <v>2570</v>
      </c>
      <c r="J38" s="57">
        <f>Tampin!T41</f>
        <v>9461</v>
      </c>
      <c r="K38" s="57">
        <f>Tampin!Z41</f>
        <v>8598</v>
      </c>
      <c r="L38" s="58">
        <f>Tampin!AF41</f>
        <v>6082</v>
      </c>
      <c r="M38" s="59">
        <f>Tampin!AL41</f>
        <v>0</v>
      </c>
      <c r="N38" s="60">
        <f>Tampin!AN37</f>
        <v>11630</v>
      </c>
      <c r="O38" s="61">
        <f>Tampin!AN38</f>
        <v>11633</v>
      </c>
      <c r="P38" s="62">
        <f>Tampin!AN39</f>
        <v>4560</v>
      </c>
      <c r="Q38" s="63">
        <f>Tampin!AN40</f>
        <v>7</v>
      </c>
    </row>
  </sheetData>
  <sortState xmlns:xlrd2="http://schemas.microsoft.com/office/spreadsheetml/2017/richdata2" ref="B4:E38">
    <sortCondition ref="B3:B38"/>
  </sortState>
  <mergeCells count="7">
    <mergeCell ref="F1:G1"/>
    <mergeCell ref="H1:M1"/>
    <mergeCell ref="N1:Q1"/>
    <mergeCell ref="B1:B2"/>
    <mergeCell ref="C1:C2"/>
    <mergeCell ref="D1:D2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1F954-CA4A-435B-923D-8839C3B35C36}">
  <dimension ref="B2:AN56"/>
  <sheetViews>
    <sheetView topLeftCell="X31" workbookViewId="0">
      <selection activeCell="D47" sqref="D47"/>
    </sheetView>
  </sheetViews>
  <sheetFormatPr defaultRowHeight="14.5"/>
  <cols>
    <col min="4" max="4" width="14.08984375" customWidth="1"/>
  </cols>
  <sheetData>
    <row r="2" spans="2:40">
      <c r="B2" s="1" t="s">
        <v>41</v>
      </c>
      <c r="C2" s="1" t="s">
        <v>42</v>
      </c>
      <c r="D2" s="2" t="s">
        <v>43</v>
      </c>
    </row>
    <row r="3" spans="2:40">
      <c r="B3" s="1" t="s">
        <v>44</v>
      </c>
      <c r="C3" s="1" t="s">
        <v>42</v>
      </c>
      <c r="D3" s="2" t="s">
        <v>45</v>
      </c>
    </row>
    <row r="4" spans="2:40">
      <c r="B4" s="1" t="s">
        <v>1</v>
      </c>
      <c r="C4" s="1" t="s">
        <v>42</v>
      </c>
      <c r="D4" s="2" t="s">
        <v>46</v>
      </c>
    </row>
    <row r="5" spans="2:40">
      <c r="B5" s="1" t="s">
        <v>47</v>
      </c>
      <c r="C5" s="1" t="s">
        <v>42</v>
      </c>
      <c r="D5" s="3">
        <v>46184</v>
      </c>
    </row>
    <row r="6" spans="2:40">
      <c r="B6" s="89" t="s">
        <v>48</v>
      </c>
      <c r="C6" s="89" t="s">
        <v>49</v>
      </c>
      <c r="D6" s="83" t="s">
        <v>50</v>
      </c>
      <c r="E6" s="88"/>
      <c r="F6" s="88"/>
      <c r="G6" s="88"/>
      <c r="H6" s="88"/>
      <c r="I6" s="84"/>
      <c r="J6" s="83" t="s">
        <v>51</v>
      </c>
      <c r="K6" s="88"/>
      <c r="L6" s="88"/>
      <c r="M6" s="88"/>
      <c r="N6" s="88"/>
      <c r="O6" s="84"/>
      <c r="P6" s="83" t="s">
        <v>52</v>
      </c>
      <c r="Q6" s="88"/>
      <c r="R6" s="88"/>
      <c r="S6" s="88"/>
      <c r="T6" s="88"/>
      <c r="U6" s="84"/>
      <c r="V6" s="83" t="s">
        <v>53</v>
      </c>
      <c r="W6" s="88"/>
      <c r="X6" s="88"/>
      <c r="Y6" s="88"/>
      <c r="Z6" s="88"/>
      <c r="AA6" s="84"/>
      <c r="AB6" s="83" t="s">
        <v>54</v>
      </c>
      <c r="AC6" s="88"/>
      <c r="AD6" s="88"/>
      <c r="AE6" s="88"/>
      <c r="AF6" s="88"/>
      <c r="AG6" s="84"/>
      <c r="AH6" s="83" t="s">
        <v>55</v>
      </c>
      <c r="AI6" s="88"/>
      <c r="AJ6" s="88"/>
      <c r="AK6" s="88"/>
      <c r="AL6" s="88"/>
      <c r="AM6" s="84"/>
      <c r="AN6" s="89" t="s">
        <v>56</v>
      </c>
    </row>
    <row r="7" spans="2:40">
      <c r="B7" s="90"/>
      <c r="C7" s="90"/>
      <c r="D7" s="83" t="s">
        <v>57</v>
      </c>
      <c r="E7" s="84"/>
      <c r="F7" s="83" t="s">
        <v>58</v>
      </c>
      <c r="G7" s="84"/>
      <c r="H7" s="83" t="s">
        <v>56</v>
      </c>
      <c r="I7" s="84"/>
      <c r="J7" s="83" t="s">
        <v>57</v>
      </c>
      <c r="K7" s="84"/>
      <c r="L7" s="83" t="s">
        <v>58</v>
      </c>
      <c r="M7" s="84"/>
      <c r="N7" s="83" t="s">
        <v>56</v>
      </c>
      <c r="O7" s="84"/>
      <c r="P7" s="83" t="s">
        <v>57</v>
      </c>
      <c r="Q7" s="84"/>
      <c r="R7" s="83" t="s">
        <v>58</v>
      </c>
      <c r="S7" s="84"/>
      <c r="T7" s="83" t="s">
        <v>56</v>
      </c>
      <c r="U7" s="84"/>
      <c r="V7" s="83" t="s">
        <v>57</v>
      </c>
      <c r="W7" s="84"/>
      <c r="X7" s="83" t="s">
        <v>58</v>
      </c>
      <c r="Y7" s="84"/>
      <c r="Z7" s="83" t="s">
        <v>56</v>
      </c>
      <c r="AA7" s="84"/>
      <c r="AB7" s="83" t="s">
        <v>57</v>
      </c>
      <c r="AC7" s="84"/>
      <c r="AD7" s="83" t="s">
        <v>58</v>
      </c>
      <c r="AE7" s="84"/>
      <c r="AF7" s="83" t="s">
        <v>56</v>
      </c>
      <c r="AG7" s="84"/>
      <c r="AH7" s="83" t="s">
        <v>57</v>
      </c>
      <c r="AI7" s="84"/>
      <c r="AJ7" s="83" t="s">
        <v>58</v>
      </c>
      <c r="AK7" s="84"/>
      <c r="AL7" s="83" t="s">
        <v>56</v>
      </c>
      <c r="AM7" s="84"/>
      <c r="AN7" s="90"/>
    </row>
    <row r="8" spans="2:40">
      <c r="B8" s="91"/>
      <c r="C8" s="91"/>
      <c r="D8" s="4" t="s">
        <v>59</v>
      </c>
      <c r="E8" s="4" t="s">
        <v>60</v>
      </c>
      <c r="F8" s="4" t="s">
        <v>59</v>
      </c>
      <c r="G8" s="4" t="s">
        <v>60</v>
      </c>
      <c r="H8" s="4" t="s">
        <v>59</v>
      </c>
      <c r="I8" s="4" t="s">
        <v>60</v>
      </c>
      <c r="J8" s="4" t="s">
        <v>59</v>
      </c>
      <c r="K8" s="4" t="s">
        <v>60</v>
      </c>
      <c r="L8" s="4" t="s">
        <v>59</v>
      </c>
      <c r="M8" s="4" t="s">
        <v>60</v>
      </c>
      <c r="N8" s="4" t="s">
        <v>59</v>
      </c>
      <c r="O8" s="4" t="s">
        <v>60</v>
      </c>
      <c r="P8" s="4" t="s">
        <v>59</v>
      </c>
      <c r="Q8" s="4" t="s">
        <v>60</v>
      </c>
      <c r="R8" s="4" t="s">
        <v>59</v>
      </c>
      <c r="S8" s="4" t="s">
        <v>60</v>
      </c>
      <c r="T8" s="4" t="s">
        <v>59</v>
      </c>
      <c r="U8" s="4" t="s">
        <v>60</v>
      </c>
      <c r="V8" s="4" t="s">
        <v>59</v>
      </c>
      <c r="W8" s="4" t="s">
        <v>60</v>
      </c>
      <c r="X8" s="4" t="s">
        <v>59</v>
      </c>
      <c r="Y8" s="4" t="s">
        <v>60</v>
      </c>
      <c r="Z8" s="4" t="s">
        <v>59</v>
      </c>
      <c r="AA8" s="4" t="s">
        <v>60</v>
      </c>
      <c r="AB8" s="4" t="s">
        <v>59</v>
      </c>
      <c r="AC8" s="4" t="s">
        <v>60</v>
      </c>
      <c r="AD8" s="4" t="s">
        <v>59</v>
      </c>
      <c r="AE8" s="4" t="s">
        <v>60</v>
      </c>
      <c r="AF8" s="4" t="s">
        <v>59</v>
      </c>
      <c r="AG8" s="4" t="s">
        <v>60</v>
      </c>
      <c r="AH8" s="4" t="s">
        <v>59</v>
      </c>
      <c r="AI8" s="4" t="s">
        <v>60</v>
      </c>
      <c r="AJ8" s="4" t="s">
        <v>59</v>
      </c>
      <c r="AK8" s="4" t="s">
        <v>60</v>
      </c>
      <c r="AL8" s="4" t="s">
        <v>59</v>
      </c>
      <c r="AM8" s="4" t="s">
        <v>60</v>
      </c>
      <c r="AN8" s="91"/>
    </row>
    <row r="9" spans="2:40">
      <c r="B9" s="5">
        <v>1</v>
      </c>
      <c r="C9" s="6" t="s">
        <v>61</v>
      </c>
      <c r="D9" s="5">
        <v>181</v>
      </c>
      <c r="E9" s="5">
        <v>50.84</v>
      </c>
      <c r="F9" s="5">
        <v>175</v>
      </c>
      <c r="G9" s="5">
        <v>49.16</v>
      </c>
      <c r="H9" s="5">
        <v>356</v>
      </c>
      <c r="I9" s="5">
        <v>4.76</v>
      </c>
      <c r="J9" s="5">
        <v>360</v>
      </c>
      <c r="K9" s="5">
        <v>51.72</v>
      </c>
      <c r="L9" s="5">
        <v>336</v>
      </c>
      <c r="M9" s="5">
        <v>48.28</v>
      </c>
      <c r="N9" s="5">
        <v>696</v>
      </c>
      <c r="O9" s="5">
        <v>9.31</v>
      </c>
      <c r="P9" s="7">
        <v>1286</v>
      </c>
      <c r="Q9" s="5">
        <v>51.96</v>
      </c>
      <c r="R9" s="7">
        <v>1189</v>
      </c>
      <c r="S9" s="5">
        <v>48.04</v>
      </c>
      <c r="T9" s="7">
        <v>2475</v>
      </c>
      <c r="U9" s="5">
        <v>33.090000000000003</v>
      </c>
      <c r="V9" s="7">
        <v>1304</v>
      </c>
      <c r="W9" s="5">
        <v>51.64</v>
      </c>
      <c r="X9" s="7">
        <v>1221</v>
      </c>
      <c r="Y9" s="5">
        <v>48.36</v>
      </c>
      <c r="Z9" s="7">
        <v>2525</v>
      </c>
      <c r="AA9" s="5">
        <v>33.76</v>
      </c>
      <c r="AB9" s="5">
        <v>615</v>
      </c>
      <c r="AC9" s="5">
        <v>43.1</v>
      </c>
      <c r="AD9" s="5">
        <v>812</v>
      </c>
      <c r="AE9" s="5">
        <v>56.9</v>
      </c>
      <c r="AF9" s="7">
        <v>1427</v>
      </c>
      <c r="AG9" s="5">
        <v>19.079999999999998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7">
        <v>7479</v>
      </c>
    </row>
    <row r="10" spans="2:40">
      <c r="B10" s="5">
        <v>2</v>
      </c>
      <c r="C10" s="6" t="s">
        <v>62</v>
      </c>
      <c r="D10" s="5">
        <v>107</v>
      </c>
      <c r="E10" s="5">
        <v>53.23</v>
      </c>
      <c r="F10" s="5">
        <v>94</v>
      </c>
      <c r="G10" s="5">
        <v>46.77</v>
      </c>
      <c r="H10" s="5">
        <v>201</v>
      </c>
      <c r="I10" s="5">
        <v>3.03</v>
      </c>
      <c r="J10" s="5">
        <v>201</v>
      </c>
      <c r="K10" s="5">
        <v>51.94</v>
      </c>
      <c r="L10" s="5">
        <v>186</v>
      </c>
      <c r="M10" s="5">
        <v>48.06</v>
      </c>
      <c r="N10" s="5">
        <v>387</v>
      </c>
      <c r="O10" s="5">
        <v>5.84</v>
      </c>
      <c r="P10" s="5">
        <v>825</v>
      </c>
      <c r="Q10" s="5">
        <v>56.28</v>
      </c>
      <c r="R10" s="5">
        <v>641</v>
      </c>
      <c r="S10" s="5">
        <v>43.72</v>
      </c>
      <c r="T10" s="7">
        <v>1466</v>
      </c>
      <c r="U10" s="5">
        <v>22.11</v>
      </c>
      <c r="V10" s="7">
        <v>1305</v>
      </c>
      <c r="W10" s="5">
        <v>55.44</v>
      </c>
      <c r="X10" s="7">
        <v>1049</v>
      </c>
      <c r="Y10" s="5">
        <v>44.56</v>
      </c>
      <c r="Z10" s="7">
        <v>2354</v>
      </c>
      <c r="AA10" s="5">
        <v>35.51</v>
      </c>
      <c r="AB10" s="7">
        <v>1082</v>
      </c>
      <c r="AC10" s="5">
        <v>48.69</v>
      </c>
      <c r="AD10" s="7">
        <v>1140</v>
      </c>
      <c r="AE10" s="5">
        <v>51.31</v>
      </c>
      <c r="AF10" s="7">
        <v>2222</v>
      </c>
      <c r="AG10" s="5">
        <v>33.51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7">
        <v>6630</v>
      </c>
    </row>
    <row r="11" spans="2:40">
      <c r="B11" s="5">
        <v>3</v>
      </c>
      <c r="C11" s="6" t="s">
        <v>63</v>
      </c>
      <c r="D11" s="5">
        <v>9</v>
      </c>
      <c r="E11" s="5">
        <v>60</v>
      </c>
      <c r="F11" s="5">
        <v>6</v>
      </c>
      <c r="G11" s="5">
        <v>40</v>
      </c>
      <c r="H11" s="5">
        <v>15</v>
      </c>
      <c r="I11" s="5">
        <v>4.72</v>
      </c>
      <c r="J11" s="5">
        <v>12</v>
      </c>
      <c r="K11" s="5">
        <v>54.55</v>
      </c>
      <c r="L11" s="5">
        <v>10</v>
      </c>
      <c r="M11" s="5">
        <v>45.45</v>
      </c>
      <c r="N11" s="5">
        <v>22</v>
      </c>
      <c r="O11" s="5">
        <v>6.92</v>
      </c>
      <c r="P11" s="5">
        <v>52</v>
      </c>
      <c r="Q11" s="5">
        <v>52.53</v>
      </c>
      <c r="R11" s="5">
        <v>47</v>
      </c>
      <c r="S11" s="5">
        <v>47.47</v>
      </c>
      <c r="T11" s="5">
        <v>99</v>
      </c>
      <c r="U11" s="5">
        <v>31.13</v>
      </c>
      <c r="V11" s="5">
        <v>53</v>
      </c>
      <c r="W11" s="5">
        <v>49.07</v>
      </c>
      <c r="X11" s="5">
        <v>55</v>
      </c>
      <c r="Y11" s="5">
        <v>50.93</v>
      </c>
      <c r="Z11" s="5">
        <v>108</v>
      </c>
      <c r="AA11" s="5">
        <v>33.96</v>
      </c>
      <c r="AB11" s="5">
        <v>30</v>
      </c>
      <c r="AC11" s="5">
        <v>40.54</v>
      </c>
      <c r="AD11" s="5">
        <v>44</v>
      </c>
      <c r="AE11" s="5">
        <v>59.46</v>
      </c>
      <c r="AF11" s="5">
        <v>74</v>
      </c>
      <c r="AG11" s="5">
        <v>23.27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318</v>
      </c>
    </row>
    <row r="12" spans="2:40">
      <c r="B12" s="5">
        <v>4</v>
      </c>
      <c r="C12" s="6" t="s">
        <v>64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</row>
    <row r="13" spans="2:40">
      <c r="B13" s="85" t="s">
        <v>56</v>
      </c>
      <c r="C13" s="86"/>
      <c r="D13" s="8">
        <v>297</v>
      </c>
      <c r="E13" s="8">
        <v>51.92</v>
      </c>
      <c r="F13" s="8">
        <v>275</v>
      </c>
      <c r="G13" s="8">
        <v>48.08</v>
      </c>
      <c r="H13" s="8">
        <v>572</v>
      </c>
      <c r="I13" s="8">
        <v>3.96</v>
      </c>
      <c r="J13" s="8">
        <v>573</v>
      </c>
      <c r="K13" s="8">
        <v>51.86</v>
      </c>
      <c r="L13" s="8">
        <v>532</v>
      </c>
      <c r="M13" s="8">
        <v>48.14</v>
      </c>
      <c r="N13" s="9">
        <v>1105</v>
      </c>
      <c r="O13" s="8">
        <v>7.66</v>
      </c>
      <c r="P13" s="9">
        <v>2163</v>
      </c>
      <c r="Q13" s="8">
        <v>53.54</v>
      </c>
      <c r="R13" s="9">
        <v>1877</v>
      </c>
      <c r="S13" s="8">
        <v>46.46</v>
      </c>
      <c r="T13" s="9">
        <v>4040</v>
      </c>
      <c r="U13" s="8">
        <v>28</v>
      </c>
      <c r="V13" s="9">
        <v>2662</v>
      </c>
      <c r="W13" s="8">
        <v>53.38</v>
      </c>
      <c r="X13" s="9">
        <v>2325</v>
      </c>
      <c r="Y13" s="8">
        <v>46.62</v>
      </c>
      <c r="Z13" s="9">
        <v>4987</v>
      </c>
      <c r="AA13" s="8">
        <v>34.57</v>
      </c>
      <c r="AB13" s="9">
        <v>1727</v>
      </c>
      <c r="AC13" s="8">
        <v>46.39</v>
      </c>
      <c r="AD13" s="9">
        <v>1996</v>
      </c>
      <c r="AE13" s="8">
        <v>53.61</v>
      </c>
      <c r="AF13" s="9">
        <v>3723</v>
      </c>
      <c r="AG13" s="8">
        <v>25.81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9">
        <v>14427</v>
      </c>
    </row>
    <row r="14" spans="2:40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</row>
    <row r="15" spans="2:40"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</row>
    <row r="16" spans="2:40">
      <c r="B16" s="1" t="s">
        <v>41</v>
      </c>
      <c r="C16" s="1" t="s">
        <v>42</v>
      </c>
      <c r="D16" s="2" t="s">
        <v>43</v>
      </c>
    </row>
    <row r="17" spans="2:40">
      <c r="B17" s="1" t="s">
        <v>44</v>
      </c>
      <c r="C17" s="1" t="s">
        <v>42</v>
      </c>
      <c r="D17" s="2" t="s">
        <v>45</v>
      </c>
    </row>
    <row r="18" spans="2:40">
      <c r="B18" s="1" t="s">
        <v>1</v>
      </c>
      <c r="C18" s="1" t="s">
        <v>42</v>
      </c>
      <c r="D18" s="2" t="s">
        <v>65</v>
      </c>
    </row>
    <row r="19" spans="2:40">
      <c r="B19" s="1" t="s">
        <v>47</v>
      </c>
      <c r="C19" s="1" t="s">
        <v>42</v>
      </c>
      <c r="D19" s="3">
        <v>46184</v>
      </c>
    </row>
    <row r="20" spans="2:40">
      <c r="B20" s="89" t="s">
        <v>48</v>
      </c>
      <c r="C20" s="89" t="s">
        <v>49</v>
      </c>
      <c r="D20" s="83" t="s">
        <v>50</v>
      </c>
      <c r="E20" s="88"/>
      <c r="F20" s="88"/>
      <c r="G20" s="88"/>
      <c r="H20" s="88"/>
      <c r="I20" s="84"/>
      <c r="J20" s="83" t="s">
        <v>51</v>
      </c>
      <c r="K20" s="88"/>
      <c r="L20" s="88"/>
      <c r="M20" s="88"/>
      <c r="N20" s="88"/>
      <c r="O20" s="84"/>
      <c r="P20" s="83" t="s">
        <v>52</v>
      </c>
      <c r="Q20" s="88"/>
      <c r="R20" s="88"/>
      <c r="S20" s="88"/>
      <c r="T20" s="88"/>
      <c r="U20" s="84"/>
      <c r="V20" s="83" t="s">
        <v>53</v>
      </c>
      <c r="W20" s="88"/>
      <c r="X20" s="88"/>
      <c r="Y20" s="88"/>
      <c r="Z20" s="88"/>
      <c r="AA20" s="84"/>
      <c r="AB20" s="83" t="s">
        <v>54</v>
      </c>
      <c r="AC20" s="88"/>
      <c r="AD20" s="88"/>
      <c r="AE20" s="88"/>
      <c r="AF20" s="88"/>
      <c r="AG20" s="84"/>
      <c r="AH20" s="83" t="s">
        <v>55</v>
      </c>
      <c r="AI20" s="88"/>
      <c r="AJ20" s="88"/>
      <c r="AK20" s="88"/>
      <c r="AL20" s="88"/>
      <c r="AM20" s="84"/>
      <c r="AN20" s="89" t="s">
        <v>56</v>
      </c>
    </row>
    <row r="21" spans="2:40">
      <c r="B21" s="90"/>
      <c r="C21" s="90"/>
      <c r="D21" s="83" t="s">
        <v>57</v>
      </c>
      <c r="E21" s="84"/>
      <c r="F21" s="83" t="s">
        <v>58</v>
      </c>
      <c r="G21" s="84"/>
      <c r="H21" s="83" t="s">
        <v>56</v>
      </c>
      <c r="I21" s="84"/>
      <c r="J21" s="83" t="s">
        <v>57</v>
      </c>
      <c r="K21" s="84"/>
      <c r="L21" s="83" t="s">
        <v>58</v>
      </c>
      <c r="M21" s="84"/>
      <c r="N21" s="83" t="s">
        <v>56</v>
      </c>
      <c r="O21" s="84"/>
      <c r="P21" s="83" t="s">
        <v>57</v>
      </c>
      <c r="Q21" s="84"/>
      <c r="R21" s="83" t="s">
        <v>58</v>
      </c>
      <c r="S21" s="84"/>
      <c r="T21" s="83" t="s">
        <v>56</v>
      </c>
      <c r="U21" s="84"/>
      <c r="V21" s="83" t="s">
        <v>57</v>
      </c>
      <c r="W21" s="84"/>
      <c r="X21" s="83" t="s">
        <v>58</v>
      </c>
      <c r="Y21" s="84"/>
      <c r="Z21" s="83" t="s">
        <v>56</v>
      </c>
      <c r="AA21" s="84"/>
      <c r="AB21" s="83" t="s">
        <v>57</v>
      </c>
      <c r="AC21" s="84"/>
      <c r="AD21" s="83" t="s">
        <v>58</v>
      </c>
      <c r="AE21" s="84"/>
      <c r="AF21" s="83" t="s">
        <v>56</v>
      </c>
      <c r="AG21" s="84"/>
      <c r="AH21" s="83" t="s">
        <v>57</v>
      </c>
      <c r="AI21" s="84"/>
      <c r="AJ21" s="83" t="s">
        <v>58</v>
      </c>
      <c r="AK21" s="84"/>
      <c r="AL21" s="83" t="s">
        <v>56</v>
      </c>
      <c r="AM21" s="84"/>
      <c r="AN21" s="90"/>
    </row>
    <row r="22" spans="2:40">
      <c r="B22" s="91"/>
      <c r="C22" s="91"/>
      <c r="D22" s="4" t="s">
        <v>59</v>
      </c>
      <c r="E22" s="4" t="s">
        <v>60</v>
      </c>
      <c r="F22" s="4" t="s">
        <v>59</v>
      </c>
      <c r="G22" s="4" t="s">
        <v>60</v>
      </c>
      <c r="H22" s="4" t="s">
        <v>59</v>
      </c>
      <c r="I22" s="4" t="s">
        <v>60</v>
      </c>
      <c r="J22" s="4" t="s">
        <v>59</v>
      </c>
      <c r="K22" s="4" t="s">
        <v>60</v>
      </c>
      <c r="L22" s="4" t="s">
        <v>59</v>
      </c>
      <c r="M22" s="4" t="s">
        <v>60</v>
      </c>
      <c r="N22" s="4" t="s">
        <v>59</v>
      </c>
      <c r="O22" s="4" t="s">
        <v>60</v>
      </c>
      <c r="P22" s="4" t="s">
        <v>59</v>
      </c>
      <c r="Q22" s="4" t="s">
        <v>60</v>
      </c>
      <c r="R22" s="4" t="s">
        <v>59</v>
      </c>
      <c r="S22" s="4" t="s">
        <v>60</v>
      </c>
      <c r="T22" s="4" t="s">
        <v>59</v>
      </c>
      <c r="U22" s="4" t="s">
        <v>60</v>
      </c>
      <c r="V22" s="4" t="s">
        <v>59</v>
      </c>
      <c r="W22" s="4" t="s">
        <v>60</v>
      </c>
      <c r="X22" s="4" t="s">
        <v>59</v>
      </c>
      <c r="Y22" s="4" t="s">
        <v>60</v>
      </c>
      <c r="Z22" s="4" t="s">
        <v>59</v>
      </c>
      <c r="AA22" s="4" t="s">
        <v>60</v>
      </c>
      <c r="AB22" s="4" t="s">
        <v>59</v>
      </c>
      <c r="AC22" s="4" t="s">
        <v>60</v>
      </c>
      <c r="AD22" s="4" t="s">
        <v>59</v>
      </c>
      <c r="AE22" s="4" t="s">
        <v>60</v>
      </c>
      <c r="AF22" s="4" t="s">
        <v>59</v>
      </c>
      <c r="AG22" s="4" t="s">
        <v>60</v>
      </c>
      <c r="AH22" s="4" t="s">
        <v>59</v>
      </c>
      <c r="AI22" s="4" t="s">
        <v>60</v>
      </c>
      <c r="AJ22" s="4" t="s">
        <v>59</v>
      </c>
      <c r="AK22" s="4" t="s">
        <v>60</v>
      </c>
      <c r="AL22" s="4" t="s">
        <v>59</v>
      </c>
      <c r="AM22" s="4" t="s">
        <v>60</v>
      </c>
      <c r="AN22" s="91"/>
    </row>
    <row r="23" spans="2:40">
      <c r="B23" s="5">
        <v>1</v>
      </c>
      <c r="C23" s="6" t="s">
        <v>61</v>
      </c>
      <c r="D23" s="5">
        <v>202</v>
      </c>
      <c r="E23" s="5">
        <v>52.47</v>
      </c>
      <c r="F23" s="5">
        <v>183</v>
      </c>
      <c r="G23" s="5">
        <v>47.53</v>
      </c>
      <c r="H23" s="5">
        <v>385</v>
      </c>
      <c r="I23" s="5">
        <v>4.18</v>
      </c>
      <c r="J23" s="5">
        <v>367</v>
      </c>
      <c r="K23" s="5">
        <v>49.46</v>
      </c>
      <c r="L23" s="5">
        <v>375</v>
      </c>
      <c r="M23" s="5">
        <v>50.54</v>
      </c>
      <c r="N23" s="5">
        <v>742</v>
      </c>
      <c r="O23" s="5">
        <v>8.06</v>
      </c>
      <c r="P23" s="7">
        <v>1458</v>
      </c>
      <c r="Q23" s="5">
        <v>51.03</v>
      </c>
      <c r="R23" s="7">
        <v>1399</v>
      </c>
      <c r="S23" s="5">
        <v>48.97</v>
      </c>
      <c r="T23" s="7">
        <v>2857</v>
      </c>
      <c r="U23" s="5">
        <v>31.05</v>
      </c>
      <c r="V23" s="7">
        <v>1812</v>
      </c>
      <c r="W23" s="5">
        <v>51.68</v>
      </c>
      <c r="X23" s="7">
        <v>1694</v>
      </c>
      <c r="Y23" s="5">
        <v>48.32</v>
      </c>
      <c r="Z23" s="7">
        <v>3506</v>
      </c>
      <c r="AA23" s="5">
        <v>38.1</v>
      </c>
      <c r="AB23" s="5">
        <v>761</v>
      </c>
      <c r="AC23" s="5">
        <v>44.48</v>
      </c>
      <c r="AD23" s="5">
        <v>950</v>
      </c>
      <c r="AE23" s="5">
        <v>55.52</v>
      </c>
      <c r="AF23" s="7">
        <v>1711</v>
      </c>
      <c r="AG23" s="5">
        <v>18.600000000000001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7">
        <v>9201</v>
      </c>
    </row>
    <row r="24" spans="2:40">
      <c r="B24" s="5">
        <v>2</v>
      </c>
      <c r="C24" s="6" t="s">
        <v>62</v>
      </c>
      <c r="D24" s="5">
        <v>51</v>
      </c>
      <c r="E24" s="5">
        <v>57.95</v>
      </c>
      <c r="F24" s="5">
        <v>37</v>
      </c>
      <c r="G24" s="5">
        <v>42.05</v>
      </c>
      <c r="H24" s="5">
        <v>88</v>
      </c>
      <c r="I24" s="5">
        <v>3.1</v>
      </c>
      <c r="J24" s="5">
        <v>115</v>
      </c>
      <c r="K24" s="5">
        <v>53.99</v>
      </c>
      <c r="L24" s="5">
        <v>98</v>
      </c>
      <c r="M24" s="5">
        <v>46.01</v>
      </c>
      <c r="N24" s="5">
        <v>213</v>
      </c>
      <c r="O24" s="5">
        <v>7.49</v>
      </c>
      <c r="P24" s="5">
        <v>391</v>
      </c>
      <c r="Q24" s="5">
        <v>54.69</v>
      </c>
      <c r="R24" s="5">
        <v>324</v>
      </c>
      <c r="S24" s="5">
        <v>45.31</v>
      </c>
      <c r="T24" s="5">
        <v>715</v>
      </c>
      <c r="U24" s="5">
        <v>25.16</v>
      </c>
      <c r="V24" s="5">
        <v>550</v>
      </c>
      <c r="W24" s="5">
        <v>56.53</v>
      </c>
      <c r="X24" s="5">
        <v>423</v>
      </c>
      <c r="Y24" s="5">
        <v>43.47</v>
      </c>
      <c r="Z24" s="5">
        <v>973</v>
      </c>
      <c r="AA24" s="5">
        <v>34.24</v>
      </c>
      <c r="AB24" s="5">
        <v>413</v>
      </c>
      <c r="AC24" s="5">
        <v>48.42</v>
      </c>
      <c r="AD24" s="5">
        <v>440</v>
      </c>
      <c r="AE24" s="5">
        <v>51.58</v>
      </c>
      <c r="AF24" s="5">
        <v>853</v>
      </c>
      <c r="AG24" s="5">
        <v>30.01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7">
        <v>2842</v>
      </c>
    </row>
    <row r="25" spans="2:40">
      <c r="B25" s="5">
        <v>3</v>
      </c>
      <c r="C25" s="6" t="s">
        <v>63</v>
      </c>
      <c r="D25" s="5">
        <v>18</v>
      </c>
      <c r="E25" s="5">
        <v>60</v>
      </c>
      <c r="F25" s="5">
        <v>12</v>
      </c>
      <c r="G25" s="5">
        <v>40</v>
      </c>
      <c r="H25" s="5">
        <v>30</v>
      </c>
      <c r="I25" s="5">
        <v>3.58</v>
      </c>
      <c r="J25" s="5">
        <v>37</v>
      </c>
      <c r="K25" s="5">
        <v>46.25</v>
      </c>
      <c r="L25" s="5">
        <v>43</v>
      </c>
      <c r="M25" s="5">
        <v>53.75</v>
      </c>
      <c r="N25" s="5">
        <v>80</v>
      </c>
      <c r="O25" s="5">
        <v>9.56</v>
      </c>
      <c r="P25" s="5">
        <v>132</v>
      </c>
      <c r="Q25" s="5">
        <v>50.38</v>
      </c>
      <c r="R25" s="5">
        <v>130</v>
      </c>
      <c r="S25" s="5">
        <v>49.62</v>
      </c>
      <c r="T25" s="5">
        <v>262</v>
      </c>
      <c r="U25" s="5">
        <v>31.3</v>
      </c>
      <c r="V25" s="5">
        <v>141</v>
      </c>
      <c r="W25" s="5">
        <v>48.96</v>
      </c>
      <c r="X25" s="5">
        <v>147</v>
      </c>
      <c r="Y25" s="5">
        <v>51.04</v>
      </c>
      <c r="Z25" s="5">
        <v>288</v>
      </c>
      <c r="AA25" s="5">
        <v>34.409999999999997</v>
      </c>
      <c r="AB25" s="5">
        <v>75</v>
      </c>
      <c r="AC25" s="5">
        <v>42.37</v>
      </c>
      <c r="AD25" s="5">
        <v>102</v>
      </c>
      <c r="AE25" s="5">
        <v>57.63</v>
      </c>
      <c r="AF25" s="5">
        <v>177</v>
      </c>
      <c r="AG25" s="5">
        <v>21.15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837</v>
      </c>
    </row>
    <row r="26" spans="2:40">
      <c r="B26" s="5">
        <v>4</v>
      </c>
      <c r="C26" s="6" t="s">
        <v>64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</row>
    <row r="27" spans="2:40">
      <c r="B27" s="85" t="s">
        <v>56</v>
      </c>
      <c r="C27" s="86"/>
      <c r="D27" s="8">
        <v>271</v>
      </c>
      <c r="E27" s="8">
        <v>53.88</v>
      </c>
      <c r="F27" s="8">
        <v>232</v>
      </c>
      <c r="G27" s="8">
        <v>46.12</v>
      </c>
      <c r="H27" s="8">
        <v>503</v>
      </c>
      <c r="I27" s="8">
        <v>3.91</v>
      </c>
      <c r="J27" s="8">
        <v>519</v>
      </c>
      <c r="K27" s="8">
        <v>50.14</v>
      </c>
      <c r="L27" s="8">
        <v>516</v>
      </c>
      <c r="M27" s="8">
        <v>49.86</v>
      </c>
      <c r="N27" s="9">
        <v>1035</v>
      </c>
      <c r="O27" s="8">
        <v>8.0399999999999991</v>
      </c>
      <c r="P27" s="9">
        <v>1981</v>
      </c>
      <c r="Q27" s="8">
        <v>51.67</v>
      </c>
      <c r="R27" s="9">
        <v>1853</v>
      </c>
      <c r="S27" s="8">
        <v>48.33</v>
      </c>
      <c r="T27" s="9">
        <v>3834</v>
      </c>
      <c r="U27" s="8">
        <v>29.77</v>
      </c>
      <c r="V27" s="9">
        <v>2503</v>
      </c>
      <c r="W27" s="8">
        <v>52.51</v>
      </c>
      <c r="X27" s="9">
        <v>2264</v>
      </c>
      <c r="Y27" s="8">
        <v>47.49</v>
      </c>
      <c r="Z27" s="9">
        <v>4767</v>
      </c>
      <c r="AA27" s="8">
        <v>37.01</v>
      </c>
      <c r="AB27" s="9">
        <v>1249</v>
      </c>
      <c r="AC27" s="8">
        <v>45.57</v>
      </c>
      <c r="AD27" s="9">
        <v>1492</v>
      </c>
      <c r="AE27" s="8">
        <v>54.43</v>
      </c>
      <c r="AF27" s="9">
        <v>2741</v>
      </c>
      <c r="AG27" s="8">
        <v>21.28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9">
        <v>12880</v>
      </c>
    </row>
    <row r="28" spans="2:40"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</row>
    <row r="29" spans="2:40"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</row>
    <row r="30" spans="2:40">
      <c r="B30" s="1" t="s">
        <v>41</v>
      </c>
      <c r="C30" s="1" t="s">
        <v>42</v>
      </c>
      <c r="D30" s="2" t="s">
        <v>43</v>
      </c>
    </row>
    <row r="31" spans="2:40">
      <c r="B31" s="1" t="s">
        <v>44</v>
      </c>
      <c r="C31" s="1" t="s">
        <v>42</v>
      </c>
      <c r="D31" s="2" t="s">
        <v>45</v>
      </c>
    </row>
    <row r="32" spans="2:40">
      <c r="B32" s="1" t="s">
        <v>1</v>
      </c>
      <c r="C32" s="1" t="s">
        <v>42</v>
      </c>
      <c r="D32" s="2" t="s">
        <v>66</v>
      </c>
    </row>
    <row r="33" spans="2:40">
      <c r="B33" s="1" t="s">
        <v>47</v>
      </c>
      <c r="C33" s="1" t="s">
        <v>42</v>
      </c>
      <c r="D33" s="3">
        <v>46184</v>
      </c>
    </row>
    <row r="34" spans="2:40">
      <c r="B34" s="89" t="s">
        <v>48</v>
      </c>
      <c r="C34" s="89" t="s">
        <v>49</v>
      </c>
      <c r="D34" s="83" t="s">
        <v>50</v>
      </c>
      <c r="E34" s="88"/>
      <c r="F34" s="88"/>
      <c r="G34" s="88"/>
      <c r="H34" s="88"/>
      <c r="I34" s="84"/>
      <c r="J34" s="83" t="s">
        <v>51</v>
      </c>
      <c r="K34" s="88"/>
      <c r="L34" s="88"/>
      <c r="M34" s="88"/>
      <c r="N34" s="88"/>
      <c r="O34" s="84"/>
      <c r="P34" s="83" t="s">
        <v>52</v>
      </c>
      <c r="Q34" s="88"/>
      <c r="R34" s="88"/>
      <c r="S34" s="88"/>
      <c r="T34" s="88"/>
      <c r="U34" s="84"/>
      <c r="V34" s="83" t="s">
        <v>53</v>
      </c>
      <c r="W34" s="88"/>
      <c r="X34" s="88"/>
      <c r="Y34" s="88"/>
      <c r="Z34" s="88"/>
      <c r="AA34" s="84"/>
      <c r="AB34" s="83" t="s">
        <v>54</v>
      </c>
      <c r="AC34" s="88"/>
      <c r="AD34" s="88"/>
      <c r="AE34" s="88"/>
      <c r="AF34" s="88"/>
      <c r="AG34" s="84"/>
      <c r="AH34" s="83" t="s">
        <v>55</v>
      </c>
      <c r="AI34" s="88"/>
      <c r="AJ34" s="88"/>
      <c r="AK34" s="88"/>
      <c r="AL34" s="88"/>
      <c r="AM34" s="84"/>
      <c r="AN34" s="89" t="s">
        <v>56</v>
      </c>
    </row>
    <row r="35" spans="2:40">
      <c r="B35" s="90"/>
      <c r="C35" s="90"/>
      <c r="D35" s="83" t="s">
        <v>57</v>
      </c>
      <c r="E35" s="84"/>
      <c r="F35" s="83" t="s">
        <v>58</v>
      </c>
      <c r="G35" s="84"/>
      <c r="H35" s="83" t="s">
        <v>56</v>
      </c>
      <c r="I35" s="84"/>
      <c r="J35" s="83" t="s">
        <v>57</v>
      </c>
      <c r="K35" s="84"/>
      <c r="L35" s="83" t="s">
        <v>58</v>
      </c>
      <c r="M35" s="84"/>
      <c r="N35" s="83" t="s">
        <v>56</v>
      </c>
      <c r="O35" s="84"/>
      <c r="P35" s="83" t="s">
        <v>57</v>
      </c>
      <c r="Q35" s="84"/>
      <c r="R35" s="83" t="s">
        <v>58</v>
      </c>
      <c r="S35" s="84"/>
      <c r="T35" s="83" t="s">
        <v>56</v>
      </c>
      <c r="U35" s="84"/>
      <c r="V35" s="83" t="s">
        <v>57</v>
      </c>
      <c r="W35" s="84"/>
      <c r="X35" s="83" t="s">
        <v>58</v>
      </c>
      <c r="Y35" s="84"/>
      <c r="Z35" s="83" t="s">
        <v>56</v>
      </c>
      <c r="AA35" s="84"/>
      <c r="AB35" s="83" t="s">
        <v>57</v>
      </c>
      <c r="AC35" s="84"/>
      <c r="AD35" s="83" t="s">
        <v>58</v>
      </c>
      <c r="AE35" s="84"/>
      <c r="AF35" s="83" t="s">
        <v>56</v>
      </c>
      <c r="AG35" s="84"/>
      <c r="AH35" s="83" t="s">
        <v>57</v>
      </c>
      <c r="AI35" s="84"/>
      <c r="AJ35" s="83" t="s">
        <v>58</v>
      </c>
      <c r="AK35" s="84"/>
      <c r="AL35" s="83" t="s">
        <v>56</v>
      </c>
      <c r="AM35" s="84"/>
      <c r="AN35" s="90"/>
    </row>
    <row r="36" spans="2:40">
      <c r="B36" s="91"/>
      <c r="C36" s="91"/>
      <c r="D36" s="4" t="s">
        <v>59</v>
      </c>
      <c r="E36" s="4" t="s">
        <v>60</v>
      </c>
      <c r="F36" s="4" t="s">
        <v>59</v>
      </c>
      <c r="G36" s="4" t="s">
        <v>60</v>
      </c>
      <c r="H36" s="4" t="s">
        <v>59</v>
      </c>
      <c r="I36" s="4" t="s">
        <v>60</v>
      </c>
      <c r="J36" s="4" t="s">
        <v>59</v>
      </c>
      <c r="K36" s="4" t="s">
        <v>60</v>
      </c>
      <c r="L36" s="4" t="s">
        <v>59</v>
      </c>
      <c r="M36" s="4" t="s">
        <v>60</v>
      </c>
      <c r="N36" s="4" t="s">
        <v>59</v>
      </c>
      <c r="O36" s="4" t="s">
        <v>60</v>
      </c>
      <c r="P36" s="4" t="s">
        <v>59</v>
      </c>
      <c r="Q36" s="4" t="s">
        <v>60</v>
      </c>
      <c r="R36" s="4" t="s">
        <v>59</v>
      </c>
      <c r="S36" s="4" t="s">
        <v>60</v>
      </c>
      <c r="T36" s="4" t="s">
        <v>59</v>
      </c>
      <c r="U36" s="4" t="s">
        <v>60</v>
      </c>
      <c r="V36" s="4" t="s">
        <v>59</v>
      </c>
      <c r="W36" s="4" t="s">
        <v>60</v>
      </c>
      <c r="X36" s="4" t="s">
        <v>59</v>
      </c>
      <c r="Y36" s="4" t="s">
        <v>60</v>
      </c>
      <c r="Z36" s="4" t="s">
        <v>59</v>
      </c>
      <c r="AA36" s="4" t="s">
        <v>60</v>
      </c>
      <c r="AB36" s="4" t="s">
        <v>59</v>
      </c>
      <c r="AC36" s="4" t="s">
        <v>60</v>
      </c>
      <c r="AD36" s="4" t="s">
        <v>59</v>
      </c>
      <c r="AE36" s="4" t="s">
        <v>60</v>
      </c>
      <c r="AF36" s="4" t="s">
        <v>59</v>
      </c>
      <c r="AG36" s="4" t="s">
        <v>60</v>
      </c>
      <c r="AH36" s="4" t="s">
        <v>59</v>
      </c>
      <c r="AI36" s="4" t="s">
        <v>60</v>
      </c>
      <c r="AJ36" s="4" t="s">
        <v>59</v>
      </c>
      <c r="AK36" s="4" t="s">
        <v>60</v>
      </c>
      <c r="AL36" s="4" t="s">
        <v>59</v>
      </c>
      <c r="AM36" s="4" t="s">
        <v>60</v>
      </c>
      <c r="AN36" s="91"/>
    </row>
    <row r="37" spans="2:40">
      <c r="B37" s="5">
        <v>1</v>
      </c>
      <c r="C37" s="6" t="s">
        <v>61</v>
      </c>
      <c r="D37" s="5">
        <v>380</v>
      </c>
      <c r="E37" s="5">
        <v>50.46</v>
      </c>
      <c r="F37" s="5">
        <v>373</v>
      </c>
      <c r="G37" s="5">
        <v>49.54</v>
      </c>
      <c r="H37" s="5">
        <v>753</v>
      </c>
      <c r="I37" s="5">
        <v>4.5</v>
      </c>
      <c r="J37" s="5">
        <v>674</v>
      </c>
      <c r="K37" s="5">
        <v>49.89</v>
      </c>
      <c r="L37" s="5">
        <v>677</v>
      </c>
      <c r="M37" s="5">
        <v>50.11</v>
      </c>
      <c r="N37" s="7">
        <v>1351</v>
      </c>
      <c r="O37" s="5">
        <v>8.08</v>
      </c>
      <c r="P37" s="7">
        <v>3135</v>
      </c>
      <c r="Q37" s="5">
        <v>52.89</v>
      </c>
      <c r="R37" s="7">
        <v>2792</v>
      </c>
      <c r="S37" s="5">
        <v>47.11</v>
      </c>
      <c r="T37" s="7">
        <v>5927</v>
      </c>
      <c r="U37" s="5">
        <v>35.450000000000003</v>
      </c>
      <c r="V37" s="7">
        <v>2933</v>
      </c>
      <c r="W37" s="5">
        <v>51.39</v>
      </c>
      <c r="X37" s="7">
        <v>2774</v>
      </c>
      <c r="Y37" s="5">
        <v>48.61</v>
      </c>
      <c r="Z37" s="7">
        <v>5707</v>
      </c>
      <c r="AA37" s="5">
        <v>34.130000000000003</v>
      </c>
      <c r="AB37" s="7">
        <v>1239</v>
      </c>
      <c r="AC37" s="5">
        <v>41.54</v>
      </c>
      <c r="AD37" s="7">
        <v>1744</v>
      </c>
      <c r="AE37" s="5">
        <v>58.46</v>
      </c>
      <c r="AF37" s="7">
        <v>2983</v>
      </c>
      <c r="AG37" s="5">
        <v>17.84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7">
        <v>16721</v>
      </c>
    </row>
    <row r="38" spans="2:40">
      <c r="B38" s="5">
        <v>2</v>
      </c>
      <c r="C38" s="6" t="s">
        <v>62</v>
      </c>
      <c r="D38" s="5">
        <v>29</v>
      </c>
      <c r="E38" s="5">
        <v>51.79</v>
      </c>
      <c r="F38" s="5">
        <v>27</v>
      </c>
      <c r="G38" s="5">
        <v>48.21</v>
      </c>
      <c r="H38" s="5">
        <v>56</v>
      </c>
      <c r="I38" s="5">
        <v>3.95</v>
      </c>
      <c r="J38" s="5">
        <v>67</v>
      </c>
      <c r="K38" s="5">
        <v>51.15</v>
      </c>
      <c r="L38" s="5">
        <v>64</v>
      </c>
      <c r="M38" s="5">
        <v>48.85</v>
      </c>
      <c r="N38" s="5">
        <v>131</v>
      </c>
      <c r="O38" s="5">
        <v>9.24</v>
      </c>
      <c r="P38" s="5">
        <v>269</v>
      </c>
      <c r="Q38" s="5">
        <v>55.81</v>
      </c>
      <c r="R38" s="5">
        <v>213</v>
      </c>
      <c r="S38" s="5">
        <v>44.19</v>
      </c>
      <c r="T38" s="5">
        <v>482</v>
      </c>
      <c r="U38" s="5">
        <v>34.020000000000003</v>
      </c>
      <c r="V38" s="5">
        <v>223</v>
      </c>
      <c r="W38" s="5">
        <v>58.07</v>
      </c>
      <c r="X38" s="5">
        <v>161</v>
      </c>
      <c r="Y38" s="5">
        <v>41.93</v>
      </c>
      <c r="Z38" s="5">
        <v>384</v>
      </c>
      <c r="AA38" s="5">
        <v>27.1</v>
      </c>
      <c r="AB38" s="5">
        <v>162</v>
      </c>
      <c r="AC38" s="5">
        <v>44.51</v>
      </c>
      <c r="AD38" s="5">
        <v>202</v>
      </c>
      <c r="AE38" s="5">
        <v>55.49</v>
      </c>
      <c r="AF38" s="5">
        <v>364</v>
      </c>
      <c r="AG38" s="5">
        <v>25.69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7">
        <v>1417</v>
      </c>
    </row>
    <row r="39" spans="2:40">
      <c r="B39" s="5">
        <v>3</v>
      </c>
      <c r="C39" s="6" t="s">
        <v>63</v>
      </c>
      <c r="D39" s="5">
        <v>31</v>
      </c>
      <c r="E39" s="5">
        <v>56.36</v>
      </c>
      <c r="F39" s="5">
        <v>24</v>
      </c>
      <c r="G39" s="5">
        <v>43.64</v>
      </c>
      <c r="H39" s="5">
        <v>55</v>
      </c>
      <c r="I39" s="5">
        <v>3.5</v>
      </c>
      <c r="J39" s="5">
        <v>71</v>
      </c>
      <c r="K39" s="5">
        <v>43.29</v>
      </c>
      <c r="L39" s="5">
        <v>93</v>
      </c>
      <c r="M39" s="5">
        <v>56.71</v>
      </c>
      <c r="N39" s="5">
        <v>164</v>
      </c>
      <c r="O39" s="5">
        <v>10.43</v>
      </c>
      <c r="P39" s="5">
        <v>241</v>
      </c>
      <c r="Q39" s="5">
        <v>47.25</v>
      </c>
      <c r="R39" s="5">
        <v>269</v>
      </c>
      <c r="S39" s="5">
        <v>52.75</v>
      </c>
      <c r="T39" s="5">
        <v>510</v>
      </c>
      <c r="U39" s="5">
        <v>32.42</v>
      </c>
      <c r="V39" s="5">
        <v>238</v>
      </c>
      <c r="W39" s="5">
        <v>50.11</v>
      </c>
      <c r="X39" s="5">
        <v>237</v>
      </c>
      <c r="Y39" s="5">
        <v>49.89</v>
      </c>
      <c r="Z39" s="5">
        <v>475</v>
      </c>
      <c r="AA39" s="5">
        <v>30.2</v>
      </c>
      <c r="AB39" s="5">
        <v>159</v>
      </c>
      <c r="AC39" s="5">
        <v>43.09</v>
      </c>
      <c r="AD39" s="5">
        <v>210</v>
      </c>
      <c r="AE39" s="5">
        <v>56.91</v>
      </c>
      <c r="AF39" s="5">
        <v>369</v>
      </c>
      <c r="AG39" s="5">
        <v>23.46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7">
        <v>1573</v>
      </c>
    </row>
    <row r="40" spans="2:40">
      <c r="B40" s="5">
        <v>4</v>
      </c>
      <c r="C40" s="6" t="s">
        <v>64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</row>
    <row r="41" spans="2:40">
      <c r="B41" s="85" t="s">
        <v>56</v>
      </c>
      <c r="C41" s="86"/>
      <c r="D41" s="8">
        <v>440</v>
      </c>
      <c r="E41" s="8">
        <v>50.93</v>
      </c>
      <c r="F41" s="8">
        <v>424</v>
      </c>
      <c r="G41" s="8">
        <v>49.07</v>
      </c>
      <c r="H41" s="8">
        <v>864</v>
      </c>
      <c r="I41" s="8">
        <v>4.38</v>
      </c>
      <c r="J41" s="8">
        <v>812</v>
      </c>
      <c r="K41" s="8">
        <v>49.33</v>
      </c>
      <c r="L41" s="8">
        <v>834</v>
      </c>
      <c r="M41" s="8">
        <v>50.67</v>
      </c>
      <c r="N41" s="9">
        <v>1646</v>
      </c>
      <c r="O41" s="8">
        <v>8.35</v>
      </c>
      <c r="P41" s="9">
        <v>3645</v>
      </c>
      <c r="Q41" s="8">
        <v>52.68</v>
      </c>
      <c r="R41" s="9">
        <v>3274</v>
      </c>
      <c r="S41" s="8">
        <v>47.32</v>
      </c>
      <c r="T41" s="9">
        <v>6919</v>
      </c>
      <c r="U41" s="8">
        <v>35.1</v>
      </c>
      <c r="V41" s="9">
        <v>3394</v>
      </c>
      <c r="W41" s="8">
        <v>51.69</v>
      </c>
      <c r="X41" s="9">
        <v>3172</v>
      </c>
      <c r="Y41" s="8">
        <v>48.31</v>
      </c>
      <c r="Z41" s="9">
        <v>6566</v>
      </c>
      <c r="AA41" s="8">
        <v>33.31</v>
      </c>
      <c r="AB41" s="9">
        <v>1560</v>
      </c>
      <c r="AC41" s="8">
        <v>41.98</v>
      </c>
      <c r="AD41" s="9">
        <v>2156</v>
      </c>
      <c r="AE41" s="8">
        <v>58.02</v>
      </c>
      <c r="AF41" s="9">
        <v>3716</v>
      </c>
      <c r="AG41" s="8">
        <v>18.850000000000001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9">
        <v>19711</v>
      </c>
    </row>
    <row r="42" spans="2:40"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  <c r="AM42" s="82"/>
      <c r="AN42" s="82"/>
    </row>
    <row r="43" spans="2:40"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</row>
    <row r="44" spans="2:40">
      <c r="B44" s="1" t="s">
        <v>41</v>
      </c>
      <c r="C44" s="1" t="s">
        <v>42</v>
      </c>
      <c r="D44" s="2" t="s">
        <v>43</v>
      </c>
    </row>
    <row r="45" spans="2:40">
      <c r="B45" s="1" t="s">
        <v>44</v>
      </c>
      <c r="C45" s="1" t="s">
        <v>42</v>
      </c>
      <c r="D45" s="2" t="s">
        <v>45</v>
      </c>
    </row>
    <row r="46" spans="2:40">
      <c r="B46" s="1" t="s">
        <v>1</v>
      </c>
      <c r="C46" s="1" t="s">
        <v>42</v>
      </c>
      <c r="D46" s="2" t="s">
        <v>67</v>
      </c>
    </row>
    <row r="47" spans="2:40">
      <c r="B47" s="1" t="s">
        <v>47</v>
      </c>
      <c r="C47" s="1" t="s">
        <v>42</v>
      </c>
      <c r="D47" s="3">
        <v>46184</v>
      </c>
    </row>
    <row r="48" spans="2:40">
      <c r="B48" s="89" t="s">
        <v>48</v>
      </c>
      <c r="C48" s="89" t="s">
        <v>49</v>
      </c>
      <c r="D48" s="83" t="s">
        <v>50</v>
      </c>
      <c r="E48" s="88"/>
      <c r="F48" s="88"/>
      <c r="G48" s="88"/>
      <c r="H48" s="88"/>
      <c r="I48" s="84"/>
      <c r="J48" s="83" t="s">
        <v>51</v>
      </c>
      <c r="K48" s="88"/>
      <c r="L48" s="88"/>
      <c r="M48" s="88"/>
      <c r="N48" s="88"/>
      <c r="O48" s="84"/>
      <c r="P48" s="83" t="s">
        <v>52</v>
      </c>
      <c r="Q48" s="88"/>
      <c r="R48" s="88"/>
      <c r="S48" s="88"/>
      <c r="T48" s="88"/>
      <c r="U48" s="84"/>
      <c r="V48" s="83" t="s">
        <v>53</v>
      </c>
      <c r="W48" s="88"/>
      <c r="X48" s="88"/>
      <c r="Y48" s="88"/>
      <c r="Z48" s="88"/>
      <c r="AA48" s="84"/>
      <c r="AB48" s="83" t="s">
        <v>54</v>
      </c>
      <c r="AC48" s="88"/>
      <c r="AD48" s="88"/>
      <c r="AE48" s="88"/>
      <c r="AF48" s="88"/>
      <c r="AG48" s="84"/>
      <c r="AH48" s="83" t="s">
        <v>55</v>
      </c>
      <c r="AI48" s="88"/>
      <c r="AJ48" s="88"/>
      <c r="AK48" s="88"/>
      <c r="AL48" s="88"/>
      <c r="AM48" s="84"/>
      <c r="AN48" s="89" t="s">
        <v>56</v>
      </c>
    </row>
    <row r="49" spans="2:40">
      <c r="B49" s="90"/>
      <c r="C49" s="90"/>
      <c r="D49" s="83" t="s">
        <v>57</v>
      </c>
      <c r="E49" s="84"/>
      <c r="F49" s="83" t="s">
        <v>58</v>
      </c>
      <c r="G49" s="84"/>
      <c r="H49" s="83" t="s">
        <v>56</v>
      </c>
      <c r="I49" s="84"/>
      <c r="J49" s="83" t="s">
        <v>57</v>
      </c>
      <c r="K49" s="84"/>
      <c r="L49" s="83" t="s">
        <v>58</v>
      </c>
      <c r="M49" s="84"/>
      <c r="N49" s="83" t="s">
        <v>56</v>
      </c>
      <c r="O49" s="84"/>
      <c r="P49" s="83" t="s">
        <v>57</v>
      </c>
      <c r="Q49" s="84"/>
      <c r="R49" s="83" t="s">
        <v>58</v>
      </c>
      <c r="S49" s="84"/>
      <c r="T49" s="83" t="s">
        <v>56</v>
      </c>
      <c r="U49" s="84"/>
      <c r="V49" s="83" t="s">
        <v>57</v>
      </c>
      <c r="W49" s="84"/>
      <c r="X49" s="83" t="s">
        <v>58</v>
      </c>
      <c r="Y49" s="84"/>
      <c r="Z49" s="83" t="s">
        <v>56</v>
      </c>
      <c r="AA49" s="84"/>
      <c r="AB49" s="83" t="s">
        <v>57</v>
      </c>
      <c r="AC49" s="84"/>
      <c r="AD49" s="83" t="s">
        <v>58</v>
      </c>
      <c r="AE49" s="84"/>
      <c r="AF49" s="83" t="s">
        <v>56</v>
      </c>
      <c r="AG49" s="84"/>
      <c r="AH49" s="83" t="s">
        <v>57</v>
      </c>
      <c r="AI49" s="84"/>
      <c r="AJ49" s="83" t="s">
        <v>58</v>
      </c>
      <c r="AK49" s="84"/>
      <c r="AL49" s="83" t="s">
        <v>56</v>
      </c>
      <c r="AM49" s="84"/>
      <c r="AN49" s="90"/>
    </row>
    <row r="50" spans="2:40">
      <c r="B50" s="91"/>
      <c r="C50" s="91"/>
      <c r="D50" s="4" t="s">
        <v>59</v>
      </c>
      <c r="E50" s="4" t="s">
        <v>60</v>
      </c>
      <c r="F50" s="4" t="s">
        <v>59</v>
      </c>
      <c r="G50" s="4" t="s">
        <v>60</v>
      </c>
      <c r="H50" s="4" t="s">
        <v>59</v>
      </c>
      <c r="I50" s="4" t="s">
        <v>60</v>
      </c>
      <c r="J50" s="4" t="s">
        <v>59</v>
      </c>
      <c r="K50" s="4" t="s">
        <v>60</v>
      </c>
      <c r="L50" s="4" t="s">
        <v>59</v>
      </c>
      <c r="M50" s="4" t="s">
        <v>60</v>
      </c>
      <c r="N50" s="4" t="s">
        <v>59</v>
      </c>
      <c r="O50" s="4" t="s">
        <v>60</v>
      </c>
      <c r="P50" s="4" t="s">
        <v>59</v>
      </c>
      <c r="Q50" s="4" t="s">
        <v>60</v>
      </c>
      <c r="R50" s="4" t="s">
        <v>59</v>
      </c>
      <c r="S50" s="4" t="s">
        <v>60</v>
      </c>
      <c r="T50" s="4" t="s">
        <v>59</v>
      </c>
      <c r="U50" s="4" t="s">
        <v>60</v>
      </c>
      <c r="V50" s="4" t="s">
        <v>59</v>
      </c>
      <c r="W50" s="4" t="s">
        <v>60</v>
      </c>
      <c r="X50" s="4" t="s">
        <v>59</v>
      </c>
      <c r="Y50" s="4" t="s">
        <v>60</v>
      </c>
      <c r="Z50" s="4" t="s">
        <v>59</v>
      </c>
      <c r="AA50" s="4" t="s">
        <v>60</v>
      </c>
      <c r="AB50" s="4" t="s">
        <v>59</v>
      </c>
      <c r="AC50" s="4" t="s">
        <v>60</v>
      </c>
      <c r="AD50" s="4" t="s">
        <v>59</v>
      </c>
      <c r="AE50" s="4" t="s">
        <v>60</v>
      </c>
      <c r="AF50" s="4" t="s">
        <v>59</v>
      </c>
      <c r="AG50" s="4" t="s">
        <v>60</v>
      </c>
      <c r="AH50" s="4" t="s">
        <v>59</v>
      </c>
      <c r="AI50" s="4" t="s">
        <v>60</v>
      </c>
      <c r="AJ50" s="4" t="s">
        <v>59</v>
      </c>
      <c r="AK50" s="4" t="s">
        <v>60</v>
      </c>
      <c r="AL50" s="4" t="s">
        <v>59</v>
      </c>
      <c r="AM50" s="4" t="s">
        <v>60</v>
      </c>
      <c r="AN50" s="91"/>
    </row>
    <row r="51" spans="2:40">
      <c r="B51" s="5">
        <v>1</v>
      </c>
      <c r="C51" s="6" t="s">
        <v>61</v>
      </c>
      <c r="D51" s="5">
        <v>232</v>
      </c>
      <c r="E51" s="5">
        <v>49.15</v>
      </c>
      <c r="F51" s="5">
        <v>240</v>
      </c>
      <c r="G51" s="5">
        <v>50.85</v>
      </c>
      <c r="H51" s="5">
        <v>472</v>
      </c>
      <c r="I51" s="5">
        <v>5.22</v>
      </c>
      <c r="J51" s="5">
        <v>457</v>
      </c>
      <c r="K51" s="5">
        <v>51</v>
      </c>
      <c r="L51" s="5">
        <v>439</v>
      </c>
      <c r="M51" s="5">
        <v>49</v>
      </c>
      <c r="N51" s="5">
        <v>896</v>
      </c>
      <c r="O51" s="5">
        <v>9.91</v>
      </c>
      <c r="P51" s="7">
        <v>1508</v>
      </c>
      <c r="Q51" s="5">
        <v>51.95</v>
      </c>
      <c r="R51" s="7">
        <v>1395</v>
      </c>
      <c r="S51" s="5">
        <v>48.05</v>
      </c>
      <c r="T51" s="7">
        <v>2903</v>
      </c>
      <c r="U51" s="5">
        <v>32.1</v>
      </c>
      <c r="V51" s="7">
        <v>1358</v>
      </c>
      <c r="W51" s="5">
        <v>49.19</v>
      </c>
      <c r="X51" s="7">
        <v>1403</v>
      </c>
      <c r="Y51" s="5">
        <v>50.81</v>
      </c>
      <c r="Z51" s="7">
        <v>2761</v>
      </c>
      <c r="AA51" s="5">
        <v>30.53</v>
      </c>
      <c r="AB51" s="5">
        <v>938</v>
      </c>
      <c r="AC51" s="5">
        <v>46.62</v>
      </c>
      <c r="AD51" s="7">
        <v>1074</v>
      </c>
      <c r="AE51" s="5">
        <v>53.38</v>
      </c>
      <c r="AF51" s="7">
        <v>2012</v>
      </c>
      <c r="AG51" s="5">
        <v>22.25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7">
        <v>9044</v>
      </c>
    </row>
    <row r="52" spans="2:40">
      <c r="B52" s="5">
        <v>2</v>
      </c>
      <c r="C52" s="6" t="s">
        <v>62</v>
      </c>
      <c r="D52" s="5">
        <v>75</v>
      </c>
      <c r="E52" s="5">
        <v>50</v>
      </c>
      <c r="F52" s="5">
        <v>75</v>
      </c>
      <c r="G52" s="5">
        <v>50</v>
      </c>
      <c r="H52" s="5">
        <v>150</v>
      </c>
      <c r="I52" s="5">
        <v>3.93</v>
      </c>
      <c r="J52" s="5">
        <v>152</v>
      </c>
      <c r="K52" s="5">
        <v>51.88</v>
      </c>
      <c r="L52" s="5">
        <v>141</v>
      </c>
      <c r="M52" s="5">
        <v>48.12</v>
      </c>
      <c r="N52" s="5">
        <v>293</v>
      </c>
      <c r="O52" s="5">
        <v>7.67</v>
      </c>
      <c r="P52" s="5">
        <v>525</v>
      </c>
      <c r="Q52" s="5">
        <v>50.29</v>
      </c>
      <c r="R52" s="5">
        <v>519</v>
      </c>
      <c r="S52" s="5">
        <v>49.71</v>
      </c>
      <c r="T52" s="7">
        <v>1044</v>
      </c>
      <c r="U52" s="5">
        <v>27.34</v>
      </c>
      <c r="V52" s="5">
        <v>714</v>
      </c>
      <c r="W52" s="5">
        <v>54.01</v>
      </c>
      <c r="X52" s="5">
        <v>608</v>
      </c>
      <c r="Y52" s="5">
        <v>45.99</v>
      </c>
      <c r="Z52" s="7">
        <v>1322</v>
      </c>
      <c r="AA52" s="5">
        <v>34.630000000000003</v>
      </c>
      <c r="AB52" s="5">
        <v>489</v>
      </c>
      <c r="AC52" s="5">
        <v>48.46</v>
      </c>
      <c r="AD52" s="5">
        <v>520</v>
      </c>
      <c r="AE52" s="5">
        <v>51.54</v>
      </c>
      <c r="AF52" s="7">
        <v>1009</v>
      </c>
      <c r="AG52" s="5">
        <v>26.43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7">
        <v>3818</v>
      </c>
    </row>
    <row r="53" spans="2:40">
      <c r="B53" s="5">
        <v>3</v>
      </c>
      <c r="C53" s="6" t="s">
        <v>63</v>
      </c>
      <c r="D53" s="5">
        <v>9</v>
      </c>
      <c r="E53" s="5">
        <v>52.94</v>
      </c>
      <c r="F53" s="5">
        <v>8</v>
      </c>
      <c r="G53" s="5">
        <v>47.06</v>
      </c>
      <c r="H53" s="5">
        <v>17</v>
      </c>
      <c r="I53" s="5">
        <v>3.66</v>
      </c>
      <c r="J53" s="5">
        <v>18</v>
      </c>
      <c r="K53" s="5">
        <v>56.25</v>
      </c>
      <c r="L53" s="5">
        <v>14</v>
      </c>
      <c r="M53" s="5">
        <v>43.75</v>
      </c>
      <c r="N53" s="5">
        <v>32</v>
      </c>
      <c r="O53" s="5">
        <v>6.88</v>
      </c>
      <c r="P53" s="5">
        <v>61</v>
      </c>
      <c r="Q53" s="5">
        <v>51.26</v>
      </c>
      <c r="R53" s="5">
        <v>58</v>
      </c>
      <c r="S53" s="5">
        <v>48.74</v>
      </c>
      <c r="T53" s="5">
        <v>119</v>
      </c>
      <c r="U53" s="5">
        <v>25.59</v>
      </c>
      <c r="V53" s="5">
        <v>66</v>
      </c>
      <c r="W53" s="5">
        <v>44.3</v>
      </c>
      <c r="X53" s="5">
        <v>83</v>
      </c>
      <c r="Y53" s="5">
        <v>55.7</v>
      </c>
      <c r="Z53" s="5">
        <v>149</v>
      </c>
      <c r="AA53" s="5">
        <v>32.04</v>
      </c>
      <c r="AB53" s="5">
        <v>73</v>
      </c>
      <c r="AC53" s="5">
        <v>49.32</v>
      </c>
      <c r="AD53" s="5">
        <v>75</v>
      </c>
      <c r="AE53" s="5">
        <v>50.68</v>
      </c>
      <c r="AF53" s="5">
        <v>148</v>
      </c>
      <c r="AG53" s="5">
        <v>31.83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465</v>
      </c>
    </row>
    <row r="54" spans="2:40">
      <c r="B54" s="5">
        <v>4</v>
      </c>
      <c r="C54" s="6" t="s">
        <v>64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</v>
      </c>
      <c r="Q54" s="5">
        <v>100</v>
      </c>
      <c r="R54" s="5">
        <v>0</v>
      </c>
      <c r="S54" s="5">
        <v>0</v>
      </c>
      <c r="T54" s="5">
        <v>1</v>
      </c>
      <c r="U54" s="5">
        <v>50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1</v>
      </c>
      <c r="AE54" s="5">
        <v>100</v>
      </c>
      <c r="AF54" s="5">
        <v>1</v>
      </c>
      <c r="AG54" s="5">
        <v>50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2</v>
      </c>
    </row>
    <row r="55" spans="2:40">
      <c r="B55" s="85" t="s">
        <v>56</v>
      </c>
      <c r="C55" s="86"/>
      <c r="D55" s="8">
        <v>316</v>
      </c>
      <c r="E55" s="8">
        <v>49.45</v>
      </c>
      <c r="F55" s="8">
        <v>323</v>
      </c>
      <c r="G55" s="8">
        <v>50.55</v>
      </c>
      <c r="H55" s="8">
        <v>639</v>
      </c>
      <c r="I55" s="8">
        <v>4.79</v>
      </c>
      <c r="J55" s="8">
        <v>627</v>
      </c>
      <c r="K55" s="8">
        <v>51.35</v>
      </c>
      <c r="L55" s="8">
        <v>594</v>
      </c>
      <c r="M55" s="8">
        <v>48.65</v>
      </c>
      <c r="N55" s="9">
        <v>1221</v>
      </c>
      <c r="O55" s="8">
        <v>9.16</v>
      </c>
      <c r="P55" s="9">
        <v>2095</v>
      </c>
      <c r="Q55" s="8">
        <v>51.51</v>
      </c>
      <c r="R55" s="9">
        <v>1972</v>
      </c>
      <c r="S55" s="8">
        <v>48.49</v>
      </c>
      <c r="T55" s="9">
        <v>4067</v>
      </c>
      <c r="U55" s="8">
        <v>30.51</v>
      </c>
      <c r="V55" s="9">
        <v>2138</v>
      </c>
      <c r="W55" s="8">
        <v>50.52</v>
      </c>
      <c r="X55" s="9">
        <v>2094</v>
      </c>
      <c r="Y55" s="8">
        <v>49.48</v>
      </c>
      <c r="Z55" s="9">
        <v>4232</v>
      </c>
      <c r="AA55" s="8">
        <v>31.75</v>
      </c>
      <c r="AB55" s="9">
        <v>1500</v>
      </c>
      <c r="AC55" s="8">
        <v>47.32</v>
      </c>
      <c r="AD55" s="9">
        <v>1670</v>
      </c>
      <c r="AE55" s="8">
        <v>52.68</v>
      </c>
      <c r="AF55" s="9">
        <v>3170</v>
      </c>
      <c r="AG55" s="8">
        <v>23.78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9">
        <v>13329</v>
      </c>
    </row>
    <row r="56" spans="2:40"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</row>
  </sheetData>
  <mergeCells count="119">
    <mergeCell ref="AB6:AG6"/>
    <mergeCell ref="AH6:AM6"/>
    <mergeCell ref="AN6:AN8"/>
    <mergeCell ref="D7:E7"/>
    <mergeCell ref="F7:G7"/>
    <mergeCell ref="H7:I7"/>
    <mergeCell ref="J7:K7"/>
    <mergeCell ref="L7:M7"/>
    <mergeCell ref="N7:O7"/>
    <mergeCell ref="P7:Q7"/>
    <mergeCell ref="D6:I6"/>
    <mergeCell ref="J6:O6"/>
    <mergeCell ref="P6:U6"/>
    <mergeCell ref="V6:AA6"/>
    <mergeCell ref="R7:S7"/>
    <mergeCell ref="T7:U7"/>
    <mergeCell ref="V7:W7"/>
    <mergeCell ref="X7:Y7"/>
    <mergeCell ref="AL7:AM7"/>
    <mergeCell ref="B13:C13"/>
    <mergeCell ref="B20:B22"/>
    <mergeCell ref="C20:C22"/>
    <mergeCell ref="D20:I20"/>
    <mergeCell ref="J20:O20"/>
    <mergeCell ref="P20:U20"/>
    <mergeCell ref="V20:AA20"/>
    <mergeCell ref="AB20:AG20"/>
    <mergeCell ref="AH20:AM20"/>
    <mergeCell ref="Z7:AA7"/>
    <mergeCell ref="AB7:AC7"/>
    <mergeCell ref="AD7:AE7"/>
    <mergeCell ref="AF7:AG7"/>
    <mergeCell ref="AH7:AI7"/>
    <mergeCell ref="AJ7:AK7"/>
    <mergeCell ref="B6:B8"/>
    <mergeCell ref="C6:C8"/>
    <mergeCell ref="AN20:AN22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AH21:AI21"/>
    <mergeCell ref="AJ21:AK21"/>
    <mergeCell ref="AL21:AM21"/>
    <mergeCell ref="B27:C27"/>
    <mergeCell ref="B34:B36"/>
    <mergeCell ref="C34:C36"/>
    <mergeCell ref="D34:I34"/>
    <mergeCell ref="J34:O34"/>
    <mergeCell ref="P34:U34"/>
    <mergeCell ref="V34:AA34"/>
    <mergeCell ref="V21:W21"/>
    <mergeCell ref="X21:Y21"/>
    <mergeCell ref="Z21:AA21"/>
    <mergeCell ref="AB21:AC21"/>
    <mergeCell ref="AD21:AE21"/>
    <mergeCell ref="AF21:AG21"/>
    <mergeCell ref="AB34:AG34"/>
    <mergeCell ref="AH34:AM34"/>
    <mergeCell ref="AN34:AN36"/>
    <mergeCell ref="D35:E35"/>
    <mergeCell ref="F35:G35"/>
    <mergeCell ref="H35:I35"/>
    <mergeCell ref="J35:K35"/>
    <mergeCell ref="L35:M35"/>
    <mergeCell ref="N35:O35"/>
    <mergeCell ref="P35:Q35"/>
    <mergeCell ref="AD35:AE35"/>
    <mergeCell ref="AF35:AG35"/>
    <mergeCell ref="AH35:AI35"/>
    <mergeCell ref="AJ35:AK35"/>
    <mergeCell ref="AL35:AM35"/>
    <mergeCell ref="B41:C41"/>
    <mergeCell ref="R35:S35"/>
    <mergeCell ref="T35:U35"/>
    <mergeCell ref="V35:W35"/>
    <mergeCell ref="X35:Y35"/>
    <mergeCell ref="Z35:AA35"/>
    <mergeCell ref="AB35:AC35"/>
    <mergeCell ref="P49:Q49"/>
    <mergeCell ref="B48:B50"/>
    <mergeCell ref="C48:C50"/>
    <mergeCell ref="D48:I48"/>
    <mergeCell ref="J48:O48"/>
    <mergeCell ref="P48:U48"/>
    <mergeCell ref="V48:AA48"/>
    <mergeCell ref="R49:S49"/>
    <mergeCell ref="T49:U49"/>
    <mergeCell ref="V49:W49"/>
    <mergeCell ref="X49:Y49"/>
    <mergeCell ref="B56:AN56"/>
    <mergeCell ref="AL49:AM49"/>
    <mergeCell ref="B55:C55"/>
    <mergeCell ref="B14:AN14"/>
    <mergeCell ref="B15:AN15"/>
    <mergeCell ref="B28:AN28"/>
    <mergeCell ref="B29:AN29"/>
    <mergeCell ref="B42:AN42"/>
    <mergeCell ref="B43:AN43"/>
    <mergeCell ref="Z49:AA49"/>
    <mergeCell ref="AB49:AC49"/>
    <mergeCell ref="AD49:AE49"/>
    <mergeCell ref="AF49:AG49"/>
    <mergeCell ref="AH49:AI49"/>
    <mergeCell ref="AJ49:AK49"/>
    <mergeCell ref="AB48:AG48"/>
    <mergeCell ref="AH48:AM48"/>
    <mergeCell ref="AN48:AN50"/>
    <mergeCell ref="D49:E49"/>
    <mergeCell ref="F49:G49"/>
    <mergeCell ref="H49:I49"/>
    <mergeCell ref="J49:K49"/>
    <mergeCell ref="L49:M49"/>
    <mergeCell ref="N49:O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559A4-7E46-44DD-B18F-B7EED4E09EC9}">
  <dimension ref="B2:AN56"/>
  <sheetViews>
    <sheetView topLeftCell="S41" workbookViewId="0">
      <selection activeCell="G18" sqref="G18"/>
    </sheetView>
  </sheetViews>
  <sheetFormatPr defaultRowHeight="14.5"/>
  <sheetData>
    <row r="2" spans="2:40">
      <c r="B2" s="1" t="s">
        <v>41</v>
      </c>
      <c r="C2" s="1" t="s">
        <v>42</v>
      </c>
      <c r="D2" s="2" t="s">
        <v>43</v>
      </c>
    </row>
    <row r="3" spans="2:40">
      <c r="B3" s="1" t="s">
        <v>44</v>
      </c>
      <c r="C3" s="1" t="s">
        <v>42</v>
      </c>
      <c r="D3" s="2" t="s">
        <v>68</v>
      </c>
    </row>
    <row r="4" spans="2:40">
      <c r="B4" s="1" t="s">
        <v>1</v>
      </c>
      <c r="C4" s="1" t="s">
        <v>42</v>
      </c>
      <c r="D4" s="2" t="s">
        <v>69</v>
      </c>
    </row>
    <row r="5" spans="2:40">
      <c r="B5" s="1" t="s">
        <v>47</v>
      </c>
      <c r="C5" s="1" t="s">
        <v>42</v>
      </c>
      <c r="D5" s="3">
        <v>46184</v>
      </c>
    </row>
    <row r="6" spans="2:40">
      <c r="B6" s="89" t="s">
        <v>48</v>
      </c>
      <c r="C6" s="89" t="s">
        <v>49</v>
      </c>
      <c r="D6" s="83" t="s">
        <v>50</v>
      </c>
      <c r="E6" s="88"/>
      <c r="F6" s="88"/>
      <c r="G6" s="88"/>
      <c r="H6" s="88"/>
      <c r="I6" s="84"/>
      <c r="J6" s="83" t="s">
        <v>51</v>
      </c>
      <c r="K6" s="88"/>
      <c r="L6" s="88"/>
      <c r="M6" s="88"/>
      <c r="N6" s="88"/>
      <c r="O6" s="84"/>
      <c r="P6" s="83" t="s">
        <v>52</v>
      </c>
      <c r="Q6" s="88"/>
      <c r="R6" s="88"/>
      <c r="S6" s="88"/>
      <c r="T6" s="88"/>
      <c r="U6" s="84"/>
      <c r="V6" s="83" t="s">
        <v>53</v>
      </c>
      <c r="W6" s="88"/>
      <c r="X6" s="88"/>
      <c r="Y6" s="88"/>
      <c r="Z6" s="88"/>
      <c r="AA6" s="84"/>
      <c r="AB6" s="83" t="s">
        <v>54</v>
      </c>
      <c r="AC6" s="88"/>
      <c r="AD6" s="88"/>
      <c r="AE6" s="88"/>
      <c r="AF6" s="88"/>
      <c r="AG6" s="84"/>
      <c r="AH6" s="83" t="s">
        <v>55</v>
      </c>
      <c r="AI6" s="88"/>
      <c r="AJ6" s="88"/>
      <c r="AK6" s="88"/>
      <c r="AL6" s="88"/>
      <c r="AM6" s="84"/>
      <c r="AN6" s="89" t="s">
        <v>56</v>
      </c>
    </row>
    <row r="7" spans="2:40">
      <c r="B7" s="90"/>
      <c r="C7" s="90"/>
      <c r="D7" s="83" t="s">
        <v>57</v>
      </c>
      <c r="E7" s="84"/>
      <c r="F7" s="83" t="s">
        <v>58</v>
      </c>
      <c r="G7" s="84"/>
      <c r="H7" s="83" t="s">
        <v>56</v>
      </c>
      <c r="I7" s="84"/>
      <c r="J7" s="83" t="s">
        <v>57</v>
      </c>
      <c r="K7" s="84"/>
      <c r="L7" s="83" t="s">
        <v>58</v>
      </c>
      <c r="M7" s="84"/>
      <c r="N7" s="83" t="s">
        <v>56</v>
      </c>
      <c r="O7" s="84"/>
      <c r="P7" s="83" t="s">
        <v>57</v>
      </c>
      <c r="Q7" s="84"/>
      <c r="R7" s="83" t="s">
        <v>58</v>
      </c>
      <c r="S7" s="84"/>
      <c r="T7" s="83" t="s">
        <v>56</v>
      </c>
      <c r="U7" s="84"/>
      <c r="V7" s="83" t="s">
        <v>57</v>
      </c>
      <c r="W7" s="84"/>
      <c r="X7" s="83" t="s">
        <v>58</v>
      </c>
      <c r="Y7" s="84"/>
      <c r="Z7" s="83" t="s">
        <v>56</v>
      </c>
      <c r="AA7" s="84"/>
      <c r="AB7" s="83" t="s">
        <v>57</v>
      </c>
      <c r="AC7" s="84"/>
      <c r="AD7" s="83" t="s">
        <v>58</v>
      </c>
      <c r="AE7" s="84"/>
      <c r="AF7" s="83" t="s">
        <v>56</v>
      </c>
      <c r="AG7" s="84"/>
      <c r="AH7" s="83" t="s">
        <v>57</v>
      </c>
      <c r="AI7" s="84"/>
      <c r="AJ7" s="83" t="s">
        <v>58</v>
      </c>
      <c r="AK7" s="84"/>
      <c r="AL7" s="83" t="s">
        <v>56</v>
      </c>
      <c r="AM7" s="84"/>
      <c r="AN7" s="90"/>
    </row>
    <row r="8" spans="2:40">
      <c r="B8" s="91"/>
      <c r="C8" s="91"/>
      <c r="D8" s="4" t="s">
        <v>59</v>
      </c>
      <c r="E8" s="4" t="s">
        <v>60</v>
      </c>
      <c r="F8" s="4" t="s">
        <v>59</v>
      </c>
      <c r="G8" s="4" t="s">
        <v>60</v>
      </c>
      <c r="H8" s="4" t="s">
        <v>59</v>
      </c>
      <c r="I8" s="4" t="s">
        <v>60</v>
      </c>
      <c r="J8" s="4" t="s">
        <v>59</v>
      </c>
      <c r="K8" s="4" t="s">
        <v>60</v>
      </c>
      <c r="L8" s="4" t="s">
        <v>59</v>
      </c>
      <c r="M8" s="4" t="s">
        <v>60</v>
      </c>
      <c r="N8" s="4" t="s">
        <v>59</v>
      </c>
      <c r="O8" s="4" t="s">
        <v>60</v>
      </c>
      <c r="P8" s="4" t="s">
        <v>59</v>
      </c>
      <c r="Q8" s="4" t="s">
        <v>60</v>
      </c>
      <c r="R8" s="4" t="s">
        <v>59</v>
      </c>
      <c r="S8" s="4" t="s">
        <v>60</v>
      </c>
      <c r="T8" s="4" t="s">
        <v>59</v>
      </c>
      <c r="U8" s="4" t="s">
        <v>60</v>
      </c>
      <c r="V8" s="4" t="s">
        <v>59</v>
      </c>
      <c r="W8" s="4" t="s">
        <v>60</v>
      </c>
      <c r="X8" s="4" t="s">
        <v>59</v>
      </c>
      <c r="Y8" s="4" t="s">
        <v>60</v>
      </c>
      <c r="Z8" s="4" t="s">
        <v>59</v>
      </c>
      <c r="AA8" s="4" t="s">
        <v>60</v>
      </c>
      <c r="AB8" s="4" t="s">
        <v>59</v>
      </c>
      <c r="AC8" s="4" t="s">
        <v>60</v>
      </c>
      <c r="AD8" s="4" t="s">
        <v>59</v>
      </c>
      <c r="AE8" s="4" t="s">
        <v>60</v>
      </c>
      <c r="AF8" s="4" t="s">
        <v>59</v>
      </c>
      <c r="AG8" s="4" t="s">
        <v>60</v>
      </c>
      <c r="AH8" s="4" t="s">
        <v>59</v>
      </c>
      <c r="AI8" s="4" t="s">
        <v>60</v>
      </c>
      <c r="AJ8" s="4" t="s">
        <v>59</v>
      </c>
      <c r="AK8" s="4" t="s">
        <v>60</v>
      </c>
      <c r="AL8" s="4" t="s">
        <v>59</v>
      </c>
      <c r="AM8" s="4" t="s">
        <v>60</v>
      </c>
      <c r="AN8" s="91"/>
    </row>
    <row r="9" spans="2:40">
      <c r="B9" s="5">
        <v>1</v>
      </c>
      <c r="C9" s="6" t="s">
        <v>61</v>
      </c>
      <c r="D9" s="5">
        <v>508</v>
      </c>
      <c r="E9" s="5">
        <v>49.56</v>
      </c>
      <c r="F9" s="5">
        <v>517</v>
      </c>
      <c r="G9" s="5">
        <v>50.44</v>
      </c>
      <c r="H9" s="7">
        <v>1025</v>
      </c>
      <c r="I9" s="5">
        <v>4.21</v>
      </c>
      <c r="J9" s="7">
        <v>1061</v>
      </c>
      <c r="K9" s="5">
        <v>50.64</v>
      </c>
      <c r="L9" s="7">
        <v>1034</v>
      </c>
      <c r="M9" s="5">
        <v>49.36</v>
      </c>
      <c r="N9" s="7">
        <v>2095</v>
      </c>
      <c r="O9" s="5">
        <v>8.61</v>
      </c>
      <c r="P9" s="7">
        <v>5293</v>
      </c>
      <c r="Q9" s="5">
        <v>49.84</v>
      </c>
      <c r="R9" s="7">
        <v>5328</v>
      </c>
      <c r="S9" s="5">
        <v>50.16</v>
      </c>
      <c r="T9" s="7">
        <v>10621</v>
      </c>
      <c r="U9" s="5">
        <v>43.67</v>
      </c>
      <c r="V9" s="7">
        <v>2850</v>
      </c>
      <c r="W9" s="5">
        <v>46.74</v>
      </c>
      <c r="X9" s="7">
        <v>3247</v>
      </c>
      <c r="Y9" s="5">
        <v>53.26</v>
      </c>
      <c r="Z9" s="7">
        <v>6097</v>
      </c>
      <c r="AA9" s="5">
        <v>25.07</v>
      </c>
      <c r="AB9" s="7">
        <v>2050</v>
      </c>
      <c r="AC9" s="5">
        <v>45.72</v>
      </c>
      <c r="AD9" s="7">
        <v>2434</v>
      </c>
      <c r="AE9" s="5">
        <v>54.28</v>
      </c>
      <c r="AF9" s="7">
        <v>4484</v>
      </c>
      <c r="AG9" s="5">
        <v>18.440000000000001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7">
        <v>24322</v>
      </c>
    </row>
    <row r="10" spans="2:40">
      <c r="B10" s="5">
        <v>2</v>
      </c>
      <c r="C10" s="6" t="s">
        <v>62</v>
      </c>
      <c r="D10" s="5">
        <v>74</v>
      </c>
      <c r="E10" s="5">
        <v>55.64</v>
      </c>
      <c r="F10" s="5">
        <v>59</v>
      </c>
      <c r="G10" s="5">
        <v>44.36</v>
      </c>
      <c r="H10" s="5">
        <v>133</v>
      </c>
      <c r="I10" s="5">
        <v>3.46</v>
      </c>
      <c r="J10" s="5">
        <v>172</v>
      </c>
      <c r="K10" s="5">
        <v>55.13</v>
      </c>
      <c r="L10" s="5">
        <v>140</v>
      </c>
      <c r="M10" s="5">
        <v>44.87</v>
      </c>
      <c r="N10" s="5">
        <v>312</v>
      </c>
      <c r="O10" s="5">
        <v>8.11</v>
      </c>
      <c r="P10" s="5">
        <v>605</v>
      </c>
      <c r="Q10" s="5">
        <v>52.07</v>
      </c>
      <c r="R10" s="5">
        <v>557</v>
      </c>
      <c r="S10" s="5">
        <v>47.93</v>
      </c>
      <c r="T10" s="7">
        <v>1162</v>
      </c>
      <c r="U10" s="5">
        <v>30.22</v>
      </c>
      <c r="V10" s="5">
        <v>715</v>
      </c>
      <c r="W10" s="5">
        <v>57.11</v>
      </c>
      <c r="X10" s="5">
        <v>537</v>
      </c>
      <c r="Y10" s="5">
        <v>42.89</v>
      </c>
      <c r="Z10" s="7">
        <v>1252</v>
      </c>
      <c r="AA10" s="5">
        <v>32.56</v>
      </c>
      <c r="AB10" s="5">
        <v>479</v>
      </c>
      <c r="AC10" s="5">
        <v>48.58</v>
      </c>
      <c r="AD10" s="5">
        <v>507</v>
      </c>
      <c r="AE10" s="5">
        <v>51.42</v>
      </c>
      <c r="AF10" s="5">
        <v>986</v>
      </c>
      <c r="AG10" s="5">
        <v>25.64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7">
        <v>3845</v>
      </c>
    </row>
    <row r="11" spans="2:40">
      <c r="B11" s="5">
        <v>3</v>
      </c>
      <c r="C11" s="6" t="s">
        <v>63</v>
      </c>
      <c r="D11" s="5">
        <v>45</v>
      </c>
      <c r="E11" s="5">
        <v>48.39</v>
      </c>
      <c r="F11" s="5">
        <v>48</v>
      </c>
      <c r="G11" s="5">
        <v>51.61</v>
      </c>
      <c r="H11" s="5">
        <v>93</v>
      </c>
      <c r="I11" s="5">
        <v>3.83</v>
      </c>
      <c r="J11" s="5">
        <v>109</v>
      </c>
      <c r="K11" s="5">
        <v>49.77</v>
      </c>
      <c r="L11" s="5">
        <v>110</v>
      </c>
      <c r="M11" s="5">
        <v>50.23</v>
      </c>
      <c r="N11" s="5">
        <v>219</v>
      </c>
      <c r="O11" s="5">
        <v>9.0299999999999994</v>
      </c>
      <c r="P11" s="5">
        <v>445</v>
      </c>
      <c r="Q11" s="5">
        <v>49.17</v>
      </c>
      <c r="R11" s="5">
        <v>460</v>
      </c>
      <c r="S11" s="5">
        <v>50.83</v>
      </c>
      <c r="T11" s="5">
        <v>905</v>
      </c>
      <c r="U11" s="5">
        <v>37.299999999999997</v>
      </c>
      <c r="V11" s="5">
        <v>344</v>
      </c>
      <c r="W11" s="5">
        <v>46.87</v>
      </c>
      <c r="X11" s="5">
        <v>390</v>
      </c>
      <c r="Y11" s="5">
        <v>53.13</v>
      </c>
      <c r="Z11" s="5">
        <v>734</v>
      </c>
      <c r="AA11" s="5">
        <v>30.26</v>
      </c>
      <c r="AB11" s="5">
        <v>199</v>
      </c>
      <c r="AC11" s="5">
        <v>41.89</v>
      </c>
      <c r="AD11" s="5">
        <v>276</v>
      </c>
      <c r="AE11" s="5">
        <v>58.11</v>
      </c>
      <c r="AF11" s="5">
        <v>475</v>
      </c>
      <c r="AG11" s="5">
        <v>19.579999999999998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7">
        <v>2426</v>
      </c>
    </row>
    <row r="12" spans="2:40">
      <c r="B12" s="5">
        <v>4</v>
      </c>
      <c r="C12" s="6" t="s">
        <v>64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</row>
    <row r="13" spans="2:40">
      <c r="B13" s="85" t="s">
        <v>56</v>
      </c>
      <c r="C13" s="86"/>
      <c r="D13" s="8">
        <v>627</v>
      </c>
      <c r="E13" s="8">
        <v>50.12</v>
      </c>
      <c r="F13" s="8">
        <v>624</v>
      </c>
      <c r="G13" s="8">
        <v>49.88</v>
      </c>
      <c r="H13" s="9">
        <v>1251</v>
      </c>
      <c r="I13" s="8">
        <v>4.09</v>
      </c>
      <c r="J13" s="9">
        <v>1342</v>
      </c>
      <c r="K13" s="8">
        <v>51.1</v>
      </c>
      <c r="L13" s="9">
        <v>1284</v>
      </c>
      <c r="M13" s="8">
        <v>48.9</v>
      </c>
      <c r="N13" s="9">
        <v>2626</v>
      </c>
      <c r="O13" s="8">
        <v>8.58</v>
      </c>
      <c r="P13" s="9">
        <v>6343</v>
      </c>
      <c r="Q13" s="8">
        <v>49.99</v>
      </c>
      <c r="R13" s="9">
        <v>6345</v>
      </c>
      <c r="S13" s="8">
        <v>50.01</v>
      </c>
      <c r="T13" s="9">
        <v>12688</v>
      </c>
      <c r="U13" s="8">
        <v>41.47</v>
      </c>
      <c r="V13" s="9">
        <v>3909</v>
      </c>
      <c r="W13" s="8">
        <v>48.36</v>
      </c>
      <c r="X13" s="9">
        <v>4174</v>
      </c>
      <c r="Y13" s="8">
        <v>51.64</v>
      </c>
      <c r="Z13" s="9">
        <v>8083</v>
      </c>
      <c r="AA13" s="8">
        <v>26.42</v>
      </c>
      <c r="AB13" s="9">
        <v>2728</v>
      </c>
      <c r="AC13" s="8">
        <v>45.89</v>
      </c>
      <c r="AD13" s="9">
        <v>3217</v>
      </c>
      <c r="AE13" s="8">
        <v>54.11</v>
      </c>
      <c r="AF13" s="9">
        <v>5945</v>
      </c>
      <c r="AG13" s="8">
        <v>19.43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9">
        <v>30593</v>
      </c>
    </row>
    <row r="14" spans="2:40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</row>
    <row r="15" spans="2:40"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</row>
    <row r="16" spans="2:40">
      <c r="B16" s="1" t="s">
        <v>41</v>
      </c>
      <c r="C16" s="1" t="s">
        <v>42</v>
      </c>
      <c r="D16" s="2" t="s">
        <v>43</v>
      </c>
    </row>
    <row r="17" spans="2:40">
      <c r="B17" s="1" t="s">
        <v>44</v>
      </c>
      <c r="C17" s="1" t="s">
        <v>42</v>
      </c>
      <c r="D17" s="2" t="s">
        <v>68</v>
      </c>
    </row>
    <row r="18" spans="2:40">
      <c r="B18" s="1" t="s">
        <v>1</v>
      </c>
      <c r="C18" s="1" t="s">
        <v>42</v>
      </c>
      <c r="D18" s="2" t="s">
        <v>70</v>
      </c>
    </row>
    <row r="19" spans="2:40">
      <c r="B19" s="1" t="s">
        <v>47</v>
      </c>
      <c r="C19" s="1" t="s">
        <v>42</v>
      </c>
      <c r="D19" s="3">
        <v>46184</v>
      </c>
    </row>
    <row r="20" spans="2:40">
      <c r="B20" s="89" t="s">
        <v>48</v>
      </c>
      <c r="C20" s="89" t="s">
        <v>49</v>
      </c>
      <c r="D20" s="83" t="s">
        <v>50</v>
      </c>
      <c r="E20" s="88"/>
      <c r="F20" s="88"/>
      <c r="G20" s="88"/>
      <c r="H20" s="88"/>
      <c r="I20" s="84"/>
      <c r="J20" s="83" t="s">
        <v>51</v>
      </c>
      <c r="K20" s="88"/>
      <c r="L20" s="88"/>
      <c r="M20" s="88"/>
      <c r="N20" s="88"/>
      <c r="O20" s="84"/>
      <c r="P20" s="83" t="s">
        <v>52</v>
      </c>
      <c r="Q20" s="88"/>
      <c r="R20" s="88"/>
      <c r="S20" s="88"/>
      <c r="T20" s="88"/>
      <c r="U20" s="84"/>
      <c r="V20" s="83" t="s">
        <v>53</v>
      </c>
      <c r="W20" s="88"/>
      <c r="X20" s="88"/>
      <c r="Y20" s="88"/>
      <c r="Z20" s="88"/>
      <c r="AA20" s="84"/>
      <c r="AB20" s="83" t="s">
        <v>54</v>
      </c>
      <c r="AC20" s="88"/>
      <c r="AD20" s="88"/>
      <c r="AE20" s="88"/>
      <c r="AF20" s="88"/>
      <c r="AG20" s="84"/>
      <c r="AH20" s="83" t="s">
        <v>55</v>
      </c>
      <c r="AI20" s="88"/>
      <c r="AJ20" s="88"/>
      <c r="AK20" s="88"/>
      <c r="AL20" s="88"/>
      <c r="AM20" s="84"/>
      <c r="AN20" s="89" t="s">
        <v>56</v>
      </c>
    </row>
    <row r="21" spans="2:40">
      <c r="B21" s="90"/>
      <c r="C21" s="90"/>
      <c r="D21" s="83" t="s">
        <v>57</v>
      </c>
      <c r="E21" s="84"/>
      <c r="F21" s="83" t="s">
        <v>58</v>
      </c>
      <c r="G21" s="84"/>
      <c r="H21" s="83" t="s">
        <v>56</v>
      </c>
      <c r="I21" s="84"/>
      <c r="J21" s="83" t="s">
        <v>57</v>
      </c>
      <c r="K21" s="84"/>
      <c r="L21" s="83" t="s">
        <v>58</v>
      </c>
      <c r="M21" s="84"/>
      <c r="N21" s="83" t="s">
        <v>56</v>
      </c>
      <c r="O21" s="84"/>
      <c r="P21" s="83" t="s">
        <v>57</v>
      </c>
      <c r="Q21" s="84"/>
      <c r="R21" s="83" t="s">
        <v>58</v>
      </c>
      <c r="S21" s="84"/>
      <c r="T21" s="83" t="s">
        <v>56</v>
      </c>
      <c r="U21" s="84"/>
      <c r="V21" s="83" t="s">
        <v>57</v>
      </c>
      <c r="W21" s="84"/>
      <c r="X21" s="83" t="s">
        <v>58</v>
      </c>
      <c r="Y21" s="84"/>
      <c r="Z21" s="83" t="s">
        <v>56</v>
      </c>
      <c r="AA21" s="84"/>
      <c r="AB21" s="83" t="s">
        <v>57</v>
      </c>
      <c r="AC21" s="84"/>
      <c r="AD21" s="83" t="s">
        <v>58</v>
      </c>
      <c r="AE21" s="84"/>
      <c r="AF21" s="83" t="s">
        <v>56</v>
      </c>
      <c r="AG21" s="84"/>
      <c r="AH21" s="83" t="s">
        <v>57</v>
      </c>
      <c r="AI21" s="84"/>
      <c r="AJ21" s="83" t="s">
        <v>58</v>
      </c>
      <c r="AK21" s="84"/>
      <c r="AL21" s="83" t="s">
        <v>56</v>
      </c>
      <c r="AM21" s="84"/>
      <c r="AN21" s="90"/>
    </row>
    <row r="22" spans="2:40">
      <c r="B22" s="91"/>
      <c r="C22" s="91"/>
      <c r="D22" s="4" t="s">
        <v>59</v>
      </c>
      <c r="E22" s="4" t="s">
        <v>60</v>
      </c>
      <c r="F22" s="4" t="s">
        <v>59</v>
      </c>
      <c r="G22" s="4" t="s">
        <v>60</v>
      </c>
      <c r="H22" s="4" t="s">
        <v>59</v>
      </c>
      <c r="I22" s="4" t="s">
        <v>60</v>
      </c>
      <c r="J22" s="4" t="s">
        <v>59</v>
      </c>
      <c r="K22" s="4" t="s">
        <v>60</v>
      </c>
      <c r="L22" s="4" t="s">
        <v>59</v>
      </c>
      <c r="M22" s="4" t="s">
        <v>60</v>
      </c>
      <c r="N22" s="4" t="s">
        <v>59</v>
      </c>
      <c r="O22" s="4" t="s">
        <v>60</v>
      </c>
      <c r="P22" s="4" t="s">
        <v>59</v>
      </c>
      <c r="Q22" s="4" t="s">
        <v>60</v>
      </c>
      <c r="R22" s="4" t="s">
        <v>59</v>
      </c>
      <c r="S22" s="4" t="s">
        <v>60</v>
      </c>
      <c r="T22" s="4" t="s">
        <v>59</v>
      </c>
      <c r="U22" s="4" t="s">
        <v>60</v>
      </c>
      <c r="V22" s="4" t="s">
        <v>59</v>
      </c>
      <c r="W22" s="4" t="s">
        <v>60</v>
      </c>
      <c r="X22" s="4" t="s">
        <v>59</v>
      </c>
      <c r="Y22" s="4" t="s">
        <v>60</v>
      </c>
      <c r="Z22" s="4" t="s">
        <v>59</v>
      </c>
      <c r="AA22" s="4" t="s">
        <v>60</v>
      </c>
      <c r="AB22" s="4" t="s">
        <v>59</v>
      </c>
      <c r="AC22" s="4" t="s">
        <v>60</v>
      </c>
      <c r="AD22" s="4" t="s">
        <v>59</v>
      </c>
      <c r="AE22" s="4" t="s">
        <v>60</v>
      </c>
      <c r="AF22" s="4" t="s">
        <v>59</v>
      </c>
      <c r="AG22" s="4" t="s">
        <v>60</v>
      </c>
      <c r="AH22" s="4" t="s">
        <v>59</v>
      </c>
      <c r="AI22" s="4" t="s">
        <v>60</v>
      </c>
      <c r="AJ22" s="4" t="s">
        <v>59</v>
      </c>
      <c r="AK22" s="4" t="s">
        <v>60</v>
      </c>
      <c r="AL22" s="4" t="s">
        <v>59</v>
      </c>
      <c r="AM22" s="4" t="s">
        <v>60</v>
      </c>
      <c r="AN22" s="91"/>
    </row>
    <row r="23" spans="2:40">
      <c r="B23" s="5">
        <v>1</v>
      </c>
      <c r="C23" s="6" t="s">
        <v>61</v>
      </c>
      <c r="D23" s="5">
        <v>423</v>
      </c>
      <c r="E23" s="5">
        <v>51.59</v>
      </c>
      <c r="F23" s="5">
        <v>397</v>
      </c>
      <c r="G23" s="5">
        <v>48.41</v>
      </c>
      <c r="H23" s="5">
        <v>820</v>
      </c>
      <c r="I23" s="5">
        <v>3.75</v>
      </c>
      <c r="J23" s="5">
        <v>719</v>
      </c>
      <c r="K23" s="5">
        <v>50.39</v>
      </c>
      <c r="L23" s="5">
        <v>708</v>
      </c>
      <c r="M23" s="5">
        <v>49.61</v>
      </c>
      <c r="N23" s="7">
        <v>1427</v>
      </c>
      <c r="O23" s="5">
        <v>6.52</v>
      </c>
      <c r="P23" s="7">
        <v>4179</v>
      </c>
      <c r="Q23" s="5">
        <v>49.76</v>
      </c>
      <c r="R23" s="7">
        <v>4219</v>
      </c>
      <c r="S23" s="5">
        <v>50.24</v>
      </c>
      <c r="T23" s="7">
        <v>8398</v>
      </c>
      <c r="U23" s="5">
        <v>38.36</v>
      </c>
      <c r="V23" s="7">
        <v>3297</v>
      </c>
      <c r="W23" s="5">
        <v>50.45</v>
      </c>
      <c r="X23" s="7">
        <v>3238</v>
      </c>
      <c r="Y23" s="5">
        <v>49.55</v>
      </c>
      <c r="Z23" s="7">
        <v>6535</v>
      </c>
      <c r="AA23" s="5">
        <v>29.85</v>
      </c>
      <c r="AB23" s="7">
        <v>2002</v>
      </c>
      <c r="AC23" s="5">
        <v>42.5</v>
      </c>
      <c r="AD23" s="7">
        <v>2709</v>
      </c>
      <c r="AE23" s="5">
        <v>57.5</v>
      </c>
      <c r="AF23" s="7">
        <v>4711</v>
      </c>
      <c r="AG23" s="5">
        <v>21.52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7">
        <v>21891</v>
      </c>
    </row>
    <row r="24" spans="2:40">
      <c r="B24" s="5">
        <v>2</v>
      </c>
      <c r="C24" s="6" t="s">
        <v>62</v>
      </c>
      <c r="D24" s="5">
        <v>23</v>
      </c>
      <c r="E24" s="5">
        <v>63.89</v>
      </c>
      <c r="F24" s="5">
        <v>13</v>
      </c>
      <c r="G24" s="5">
        <v>36.11</v>
      </c>
      <c r="H24" s="5">
        <v>36</v>
      </c>
      <c r="I24" s="5">
        <v>7.95</v>
      </c>
      <c r="J24" s="5">
        <v>28</v>
      </c>
      <c r="K24" s="5">
        <v>50</v>
      </c>
      <c r="L24" s="5">
        <v>28</v>
      </c>
      <c r="M24" s="5">
        <v>50</v>
      </c>
      <c r="N24" s="5">
        <v>56</v>
      </c>
      <c r="O24" s="5">
        <v>12.36</v>
      </c>
      <c r="P24" s="5">
        <v>44</v>
      </c>
      <c r="Q24" s="5">
        <v>47.31</v>
      </c>
      <c r="R24" s="5">
        <v>49</v>
      </c>
      <c r="S24" s="5">
        <v>52.69</v>
      </c>
      <c r="T24" s="5">
        <v>93</v>
      </c>
      <c r="U24" s="5">
        <v>20.53</v>
      </c>
      <c r="V24" s="5">
        <v>97</v>
      </c>
      <c r="W24" s="5">
        <v>62.58</v>
      </c>
      <c r="X24" s="5">
        <v>58</v>
      </c>
      <c r="Y24" s="5">
        <v>37.42</v>
      </c>
      <c r="Z24" s="5">
        <v>155</v>
      </c>
      <c r="AA24" s="5">
        <v>34.22</v>
      </c>
      <c r="AB24" s="5">
        <v>42</v>
      </c>
      <c r="AC24" s="5">
        <v>37.17</v>
      </c>
      <c r="AD24" s="5">
        <v>71</v>
      </c>
      <c r="AE24" s="5">
        <v>62.83</v>
      </c>
      <c r="AF24" s="5">
        <v>113</v>
      </c>
      <c r="AG24" s="5">
        <v>24.94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453</v>
      </c>
    </row>
    <row r="25" spans="2:40">
      <c r="B25" s="5">
        <v>3</v>
      </c>
      <c r="C25" s="6" t="s">
        <v>63</v>
      </c>
      <c r="D25" s="5">
        <v>28</v>
      </c>
      <c r="E25" s="5">
        <v>50</v>
      </c>
      <c r="F25" s="5">
        <v>28</v>
      </c>
      <c r="G25" s="5">
        <v>50</v>
      </c>
      <c r="H25" s="5">
        <v>56</v>
      </c>
      <c r="I25" s="5">
        <v>4.6500000000000004</v>
      </c>
      <c r="J25" s="5">
        <v>47</v>
      </c>
      <c r="K25" s="5">
        <v>42.34</v>
      </c>
      <c r="L25" s="5">
        <v>64</v>
      </c>
      <c r="M25" s="5">
        <v>57.66</v>
      </c>
      <c r="N25" s="5">
        <v>111</v>
      </c>
      <c r="O25" s="5">
        <v>9.2200000000000006</v>
      </c>
      <c r="P25" s="5">
        <v>164</v>
      </c>
      <c r="Q25" s="5">
        <v>50.93</v>
      </c>
      <c r="R25" s="5">
        <v>158</v>
      </c>
      <c r="S25" s="5">
        <v>49.07</v>
      </c>
      <c r="T25" s="5">
        <v>322</v>
      </c>
      <c r="U25" s="5">
        <v>26.74</v>
      </c>
      <c r="V25" s="5">
        <v>215</v>
      </c>
      <c r="W25" s="5">
        <v>47.78</v>
      </c>
      <c r="X25" s="5">
        <v>235</v>
      </c>
      <c r="Y25" s="5">
        <v>52.22</v>
      </c>
      <c r="Z25" s="5">
        <v>450</v>
      </c>
      <c r="AA25" s="5">
        <v>37.380000000000003</v>
      </c>
      <c r="AB25" s="5">
        <v>88</v>
      </c>
      <c r="AC25" s="5">
        <v>33.21</v>
      </c>
      <c r="AD25" s="5">
        <v>177</v>
      </c>
      <c r="AE25" s="5">
        <v>66.790000000000006</v>
      </c>
      <c r="AF25" s="5">
        <v>265</v>
      </c>
      <c r="AG25" s="5">
        <v>22.01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7">
        <v>1204</v>
      </c>
    </row>
    <row r="26" spans="2:40">
      <c r="B26" s="5">
        <v>4</v>
      </c>
      <c r="C26" s="6" t="s">
        <v>64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</row>
    <row r="27" spans="2:40">
      <c r="B27" s="85" t="s">
        <v>56</v>
      </c>
      <c r="C27" s="86"/>
      <c r="D27" s="8">
        <v>474</v>
      </c>
      <c r="E27" s="8">
        <v>51.97</v>
      </c>
      <c r="F27" s="8">
        <v>438</v>
      </c>
      <c r="G27" s="8">
        <v>48.03</v>
      </c>
      <c r="H27" s="8">
        <v>912</v>
      </c>
      <c r="I27" s="8">
        <v>3.87</v>
      </c>
      <c r="J27" s="8">
        <v>794</v>
      </c>
      <c r="K27" s="8">
        <v>49.81</v>
      </c>
      <c r="L27" s="8">
        <v>800</v>
      </c>
      <c r="M27" s="8">
        <v>50.19</v>
      </c>
      <c r="N27" s="9">
        <v>1594</v>
      </c>
      <c r="O27" s="8">
        <v>6.77</v>
      </c>
      <c r="P27" s="9">
        <v>4387</v>
      </c>
      <c r="Q27" s="8">
        <v>49.78</v>
      </c>
      <c r="R27" s="9">
        <v>4426</v>
      </c>
      <c r="S27" s="8">
        <v>50.22</v>
      </c>
      <c r="T27" s="9">
        <v>8813</v>
      </c>
      <c r="U27" s="8">
        <v>37.43</v>
      </c>
      <c r="V27" s="9">
        <v>3609</v>
      </c>
      <c r="W27" s="8">
        <v>50.55</v>
      </c>
      <c r="X27" s="9">
        <v>3531</v>
      </c>
      <c r="Y27" s="8">
        <v>49.45</v>
      </c>
      <c r="Z27" s="9">
        <v>7140</v>
      </c>
      <c r="AA27" s="8">
        <v>30.32</v>
      </c>
      <c r="AB27" s="9">
        <v>2132</v>
      </c>
      <c r="AC27" s="8">
        <v>41.89</v>
      </c>
      <c r="AD27" s="9">
        <v>2957</v>
      </c>
      <c r="AE27" s="8">
        <v>58.11</v>
      </c>
      <c r="AF27" s="9">
        <v>5089</v>
      </c>
      <c r="AG27" s="8">
        <v>21.61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9">
        <v>23548</v>
      </c>
    </row>
    <row r="28" spans="2:40"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</row>
    <row r="29" spans="2:40"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</row>
    <row r="30" spans="2:40">
      <c r="B30" s="1" t="s">
        <v>41</v>
      </c>
      <c r="C30" s="1" t="s">
        <v>42</v>
      </c>
      <c r="D30" s="2" t="s">
        <v>43</v>
      </c>
    </row>
    <row r="31" spans="2:40">
      <c r="B31" s="1" t="s">
        <v>44</v>
      </c>
      <c r="C31" s="1" t="s">
        <v>42</v>
      </c>
      <c r="D31" s="2" t="s">
        <v>68</v>
      </c>
    </row>
    <row r="32" spans="2:40">
      <c r="B32" s="1" t="s">
        <v>1</v>
      </c>
      <c r="C32" s="1" t="s">
        <v>42</v>
      </c>
      <c r="D32" s="2" t="s">
        <v>71</v>
      </c>
    </row>
    <row r="33" spans="2:40">
      <c r="B33" s="1" t="s">
        <v>47</v>
      </c>
      <c r="C33" s="1" t="s">
        <v>42</v>
      </c>
      <c r="D33" s="3">
        <v>46184</v>
      </c>
    </row>
    <row r="34" spans="2:40">
      <c r="B34" s="89" t="s">
        <v>48</v>
      </c>
      <c r="C34" s="89" t="s">
        <v>49</v>
      </c>
      <c r="D34" s="83" t="s">
        <v>50</v>
      </c>
      <c r="E34" s="88"/>
      <c r="F34" s="88"/>
      <c r="G34" s="88"/>
      <c r="H34" s="88"/>
      <c r="I34" s="84"/>
      <c r="J34" s="83" t="s">
        <v>51</v>
      </c>
      <c r="K34" s="88"/>
      <c r="L34" s="88"/>
      <c r="M34" s="88"/>
      <c r="N34" s="88"/>
      <c r="O34" s="84"/>
      <c r="P34" s="83" t="s">
        <v>52</v>
      </c>
      <c r="Q34" s="88"/>
      <c r="R34" s="88"/>
      <c r="S34" s="88"/>
      <c r="T34" s="88"/>
      <c r="U34" s="84"/>
      <c r="V34" s="83" t="s">
        <v>53</v>
      </c>
      <c r="W34" s="88"/>
      <c r="X34" s="88"/>
      <c r="Y34" s="88"/>
      <c r="Z34" s="88"/>
      <c r="AA34" s="84"/>
      <c r="AB34" s="83" t="s">
        <v>54</v>
      </c>
      <c r="AC34" s="88"/>
      <c r="AD34" s="88"/>
      <c r="AE34" s="88"/>
      <c r="AF34" s="88"/>
      <c r="AG34" s="84"/>
      <c r="AH34" s="83" t="s">
        <v>55</v>
      </c>
      <c r="AI34" s="88"/>
      <c r="AJ34" s="88"/>
      <c r="AK34" s="88"/>
      <c r="AL34" s="88"/>
      <c r="AM34" s="84"/>
      <c r="AN34" s="89" t="s">
        <v>56</v>
      </c>
    </row>
    <row r="35" spans="2:40">
      <c r="B35" s="90"/>
      <c r="C35" s="90"/>
      <c r="D35" s="83" t="s">
        <v>57</v>
      </c>
      <c r="E35" s="84"/>
      <c r="F35" s="83" t="s">
        <v>58</v>
      </c>
      <c r="G35" s="84"/>
      <c r="H35" s="83" t="s">
        <v>56</v>
      </c>
      <c r="I35" s="84"/>
      <c r="J35" s="83" t="s">
        <v>57</v>
      </c>
      <c r="K35" s="84"/>
      <c r="L35" s="83" t="s">
        <v>58</v>
      </c>
      <c r="M35" s="84"/>
      <c r="N35" s="83" t="s">
        <v>56</v>
      </c>
      <c r="O35" s="84"/>
      <c r="P35" s="83" t="s">
        <v>57</v>
      </c>
      <c r="Q35" s="84"/>
      <c r="R35" s="83" t="s">
        <v>58</v>
      </c>
      <c r="S35" s="84"/>
      <c r="T35" s="83" t="s">
        <v>56</v>
      </c>
      <c r="U35" s="84"/>
      <c r="V35" s="83" t="s">
        <v>57</v>
      </c>
      <c r="W35" s="84"/>
      <c r="X35" s="83" t="s">
        <v>58</v>
      </c>
      <c r="Y35" s="84"/>
      <c r="Z35" s="83" t="s">
        <v>56</v>
      </c>
      <c r="AA35" s="84"/>
      <c r="AB35" s="83" t="s">
        <v>57</v>
      </c>
      <c r="AC35" s="84"/>
      <c r="AD35" s="83" t="s">
        <v>58</v>
      </c>
      <c r="AE35" s="84"/>
      <c r="AF35" s="83" t="s">
        <v>56</v>
      </c>
      <c r="AG35" s="84"/>
      <c r="AH35" s="83" t="s">
        <v>57</v>
      </c>
      <c r="AI35" s="84"/>
      <c r="AJ35" s="83" t="s">
        <v>58</v>
      </c>
      <c r="AK35" s="84"/>
      <c r="AL35" s="83" t="s">
        <v>56</v>
      </c>
      <c r="AM35" s="84"/>
      <c r="AN35" s="90"/>
    </row>
    <row r="36" spans="2:40">
      <c r="B36" s="91"/>
      <c r="C36" s="91"/>
      <c r="D36" s="4" t="s">
        <v>59</v>
      </c>
      <c r="E36" s="4" t="s">
        <v>60</v>
      </c>
      <c r="F36" s="4" t="s">
        <v>59</v>
      </c>
      <c r="G36" s="4" t="s">
        <v>60</v>
      </c>
      <c r="H36" s="4" t="s">
        <v>59</v>
      </c>
      <c r="I36" s="4" t="s">
        <v>60</v>
      </c>
      <c r="J36" s="4" t="s">
        <v>59</v>
      </c>
      <c r="K36" s="4" t="s">
        <v>60</v>
      </c>
      <c r="L36" s="4" t="s">
        <v>59</v>
      </c>
      <c r="M36" s="4" t="s">
        <v>60</v>
      </c>
      <c r="N36" s="4" t="s">
        <v>59</v>
      </c>
      <c r="O36" s="4" t="s">
        <v>60</v>
      </c>
      <c r="P36" s="4" t="s">
        <v>59</v>
      </c>
      <c r="Q36" s="4" t="s">
        <v>60</v>
      </c>
      <c r="R36" s="4" t="s">
        <v>59</v>
      </c>
      <c r="S36" s="4" t="s">
        <v>60</v>
      </c>
      <c r="T36" s="4" t="s">
        <v>59</v>
      </c>
      <c r="U36" s="4" t="s">
        <v>60</v>
      </c>
      <c r="V36" s="4" t="s">
        <v>59</v>
      </c>
      <c r="W36" s="4" t="s">
        <v>60</v>
      </c>
      <c r="X36" s="4" t="s">
        <v>59</v>
      </c>
      <c r="Y36" s="4" t="s">
        <v>60</v>
      </c>
      <c r="Z36" s="4" t="s">
        <v>59</v>
      </c>
      <c r="AA36" s="4" t="s">
        <v>60</v>
      </c>
      <c r="AB36" s="4" t="s">
        <v>59</v>
      </c>
      <c r="AC36" s="4" t="s">
        <v>60</v>
      </c>
      <c r="AD36" s="4" t="s">
        <v>59</v>
      </c>
      <c r="AE36" s="4" t="s">
        <v>60</v>
      </c>
      <c r="AF36" s="4" t="s">
        <v>59</v>
      </c>
      <c r="AG36" s="4" t="s">
        <v>60</v>
      </c>
      <c r="AH36" s="4" t="s">
        <v>59</v>
      </c>
      <c r="AI36" s="4" t="s">
        <v>60</v>
      </c>
      <c r="AJ36" s="4" t="s">
        <v>59</v>
      </c>
      <c r="AK36" s="4" t="s">
        <v>60</v>
      </c>
      <c r="AL36" s="4" t="s">
        <v>59</v>
      </c>
      <c r="AM36" s="4" t="s">
        <v>60</v>
      </c>
      <c r="AN36" s="91"/>
    </row>
    <row r="37" spans="2:40">
      <c r="B37" s="5">
        <v>1</v>
      </c>
      <c r="C37" s="6" t="s">
        <v>61</v>
      </c>
      <c r="D37" s="5">
        <v>267</v>
      </c>
      <c r="E37" s="5">
        <v>49.17</v>
      </c>
      <c r="F37" s="5">
        <v>276</v>
      </c>
      <c r="G37" s="5">
        <v>50.83</v>
      </c>
      <c r="H37" s="5">
        <v>543</v>
      </c>
      <c r="I37" s="5">
        <v>5.7</v>
      </c>
      <c r="J37" s="5">
        <v>497</v>
      </c>
      <c r="K37" s="5">
        <v>49.4</v>
      </c>
      <c r="L37" s="5">
        <v>509</v>
      </c>
      <c r="M37" s="5">
        <v>50.6</v>
      </c>
      <c r="N37" s="7">
        <v>1006</v>
      </c>
      <c r="O37" s="5">
        <v>10.57</v>
      </c>
      <c r="P37" s="7">
        <v>1549</v>
      </c>
      <c r="Q37" s="5">
        <v>48.63</v>
      </c>
      <c r="R37" s="7">
        <v>1636</v>
      </c>
      <c r="S37" s="5">
        <v>51.37</v>
      </c>
      <c r="T37" s="7">
        <v>3185</v>
      </c>
      <c r="U37" s="5">
        <v>33.46</v>
      </c>
      <c r="V37" s="7">
        <v>1552</v>
      </c>
      <c r="W37" s="5">
        <v>48.42</v>
      </c>
      <c r="X37" s="7">
        <v>1653</v>
      </c>
      <c r="Y37" s="5">
        <v>51.58</v>
      </c>
      <c r="Z37" s="7">
        <v>3205</v>
      </c>
      <c r="AA37" s="5">
        <v>33.67</v>
      </c>
      <c r="AB37" s="5">
        <v>702</v>
      </c>
      <c r="AC37" s="5">
        <v>44.46</v>
      </c>
      <c r="AD37" s="5">
        <v>877</v>
      </c>
      <c r="AE37" s="5">
        <v>55.54</v>
      </c>
      <c r="AF37" s="7">
        <v>1579</v>
      </c>
      <c r="AG37" s="5">
        <v>16.59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7">
        <v>9518</v>
      </c>
    </row>
    <row r="38" spans="2:40">
      <c r="B38" s="5">
        <v>2</v>
      </c>
      <c r="C38" s="6" t="s">
        <v>62</v>
      </c>
      <c r="D38" s="5">
        <v>52</v>
      </c>
      <c r="E38" s="5">
        <v>55.91</v>
      </c>
      <c r="F38" s="5">
        <v>41</v>
      </c>
      <c r="G38" s="5">
        <v>44.09</v>
      </c>
      <c r="H38" s="5">
        <v>93</v>
      </c>
      <c r="I38" s="5">
        <v>5.48</v>
      </c>
      <c r="J38" s="5">
        <v>84</v>
      </c>
      <c r="K38" s="5">
        <v>46.93</v>
      </c>
      <c r="L38" s="5">
        <v>95</v>
      </c>
      <c r="M38" s="5">
        <v>53.07</v>
      </c>
      <c r="N38" s="5">
        <v>179</v>
      </c>
      <c r="O38" s="5">
        <v>10.55</v>
      </c>
      <c r="P38" s="5">
        <v>220</v>
      </c>
      <c r="Q38" s="5">
        <v>52.51</v>
      </c>
      <c r="R38" s="5">
        <v>199</v>
      </c>
      <c r="S38" s="5">
        <v>47.49</v>
      </c>
      <c r="T38" s="5">
        <v>419</v>
      </c>
      <c r="U38" s="5">
        <v>24.71</v>
      </c>
      <c r="V38" s="5">
        <v>302</v>
      </c>
      <c r="W38" s="5">
        <v>56.34</v>
      </c>
      <c r="X38" s="5">
        <v>234</v>
      </c>
      <c r="Y38" s="5">
        <v>43.66</v>
      </c>
      <c r="Z38" s="5">
        <v>536</v>
      </c>
      <c r="AA38" s="5">
        <v>31.6</v>
      </c>
      <c r="AB38" s="5">
        <v>210</v>
      </c>
      <c r="AC38" s="5">
        <v>44.78</v>
      </c>
      <c r="AD38" s="5">
        <v>259</v>
      </c>
      <c r="AE38" s="5">
        <v>55.22</v>
      </c>
      <c r="AF38" s="5">
        <v>469</v>
      </c>
      <c r="AG38" s="5">
        <v>27.65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7">
        <v>1696</v>
      </c>
    </row>
    <row r="39" spans="2:40">
      <c r="B39" s="5">
        <v>3</v>
      </c>
      <c r="C39" s="6" t="s">
        <v>63</v>
      </c>
      <c r="D39" s="5">
        <v>138</v>
      </c>
      <c r="E39" s="5">
        <v>55.65</v>
      </c>
      <c r="F39" s="5">
        <v>110</v>
      </c>
      <c r="G39" s="5">
        <v>44.35</v>
      </c>
      <c r="H39" s="5">
        <v>248</v>
      </c>
      <c r="I39" s="5">
        <v>4.66</v>
      </c>
      <c r="J39" s="5">
        <v>246</v>
      </c>
      <c r="K39" s="5">
        <v>50</v>
      </c>
      <c r="L39" s="5">
        <v>246</v>
      </c>
      <c r="M39" s="5">
        <v>50</v>
      </c>
      <c r="N39" s="5">
        <v>492</v>
      </c>
      <c r="O39" s="5">
        <v>9.24</v>
      </c>
      <c r="P39" s="5">
        <v>846</v>
      </c>
      <c r="Q39" s="5">
        <v>50.54</v>
      </c>
      <c r="R39" s="5">
        <v>828</v>
      </c>
      <c r="S39" s="5">
        <v>49.46</v>
      </c>
      <c r="T39" s="7">
        <v>1674</v>
      </c>
      <c r="U39" s="5">
        <v>31.44</v>
      </c>
      <c r="V39" s="5">
        <v>841</v>
      </c>
      <c r="W39" s="5">
        <v>46.93</v>
      </c>
      <c r="X39" s="5">
        <v>951</v>
      </c>
      <c r="Y39" s="5">
        <v>53.07</v>
      </c>
      <c r="Z39" s="7">
        <v>1792</v>
      </c>
      <c r="AA39" s="5">
        <v>33.659999999999997</v>
      </c>
      <c r="AB39" s="5">
        <v>432</v>
      </c>
      <c r="AC39" s="5">
        <v>38.64</v>
      </c>
      <c r="AD39" s="5">
        <v>686</v>
      </c>
      <c r="AE39" s="5">
        <v>61.36</v>
      </c>
      <c r="AF39" s="7">
        <v>1118</v>
      </c>
      <c r="AG39" s="5">
        <v>21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7">
        <v>5324</v>
      </c>
    </row>
    <row r="40" spans="2:40">
      <c r="B40" s="5">
        <v>4</v>
      </c>
      <c r="C40" s="6" t="s">
        <v>64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  <c r="Y40" s="5">
        <v>100</v>
      </c>
      <c r="Z40" s="5">
        <v>1</v>
      </c>
      <c r="AA40" s="5">
        <v>100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1</v>
      </c>
    </row>
    <row r="41" spans="2:40">
      <c r="B41" s="85" t="s">
        <v>56</v>
      </c>
      <c r="C41" s="86"/>
      <c r="D41" s="8">
        <v>457</v>
      </c>
      <c r="E41" s="8">
        <v>51.7</v>
      </c>
      <c r="F41" s="8">
        <v>427</v>
      </c>
      <c r="G41" s="8">
        <v>48.3</v>
      </c>
      <c r="H41" s="8">
        <v>884</v>
      </c>
      <c r="I41" s="8">
        <v>5.34</v>
      </c>
      <c r="J41" s="8">
        <v>827</v>
      </c>
      <c r="K41" s="8">
        <v>49.31</v>
      </c>
      <c r="L41" s="8">
        <v>850</v>
      </c>
      <c r="M41" s="8">
        <v>50.69</v>
      </c>
      <c r="N41" s="9">
        <v>1677</v>
      </c>
      <c r="O41" s="8">
        <v>10.14</v>
      </c>
      <c r="P41" s="9">
        <v>2615</v>
      </c>
      <c r="Q41" s="8">
        <v>49.55</v>
      </c>
      <c r="R41" s="9">
        <v>2663</v>
      </c>
      <c r="S41" s="8">
        <v>50.45</v>
      </c>
      <c r="T41" s="9">
        <v>5278</v>
      </c>
      <c r="U41" s="8">
        <v>31.91</v>
      </c>
      <c r="V41" s="9">
        <v>2695</v>
      </c>
      <c r="W41" s="8">
        <v>48.7</v>
      </c>
      <c r="X41" s="9">
        <v>2839</v>
      </c>
      <c r="Y41" s="8">
        <v>51.3</v>
      </c>
      <c r="Z41" s="9">
        <v>5534</v>
      </c>
      <c r="AA41" s="8">
        <v>33.46</v>
      </c>
      <c r="AB41" s="9">
        <v>1344</v>
      </c>
      <c r="AC41" s="8">
        <v>42.45</v>
      </c>
      <c r="AD41" s="9">
        <v>1822</v>
      </c>
      <c r="AE41" s="8">
        <v>57.55</v>
      </c>
      <c r="AF41" s="9">
        <v>3166</v>
      </c>
      <c r="AG41" s="8">
        <v>19.14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9">
        <v>16539</v>
      </c>
    </row>
    <row r="42" spans="2:40"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  <c r="AM42" s="82"/>
      <c r="AN42" s="82"/>
    </row>
    <row r="43" spans="2:40"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</row>
    <row r="44" spans="2:40">
      <c r="B44" s="1" t="s">
        <v>41</v>
      </c>
      <c r="C44" s="1" t="s">
        <v>42</v>
      </c>
      <c r="D44" s="2" t="s">
        <v>43</v>
      </c>
    </row>
    <row r="45" spans="2:40">
      <c r="B45" s="1" t="s">
        <v>44</v>
      </c>
      <c r="C45" s="1" t="s">
        <v>42</v>
      </c>
      <c r="D45" s="2" t="s">
        <v>68</v>
      </c>
    </row>
    <row r="46" spans="2:40">
      <c r="B46" s="1" t="s">
        <v>1</v>
      </c>
      <c r="C46" s="1" t="s">
        <v>42</v>
      </c>
      <c r="D46" s="2" t="s">
        <v>72</v>
      </c>
    </row>
    <row r="47" spans="2:40">
      <c r="B47" s="1" t="s">
        <v>47</v>
      </c>
      <c r="C47" s="1" t="s">
        <v>42</v>
      </c>
      <c r="D47" s="3">
        <v>46184</v>
      </c>
    </row>
    <row r="48" spans="2:40">
      <c r="B48" s="89" t="s">
        <v>48</v>
      </c>
      <c r="C48" s="89" t="s">
        <v>49</v>
      </c>
      <c r="D48" s="83" t="s">
        <v>50</v>
      </c>
      <c r="E48" s="88"/>
      <c r="F48" s="88"/>
      <c r="G48" s="88"/>
      <c r="H48" s="88"/>
      <c r="I48" s="84"/>
      <c r="J48" s="83" t="s">
        <v>51</v>
      </c>
      <c r="K48" s="88"/>
      <c r="L48" s="88"/>
      <c r="M48" s="88"/>
      <c r="N48" s="88"/>
      <c r="O48" s="84"/>
      <c r="P48" s="83" t="s">
        <v>52</v>
      </c>
      <c r="Q48" s="88"/>
      <c r="R48" s="88"/>
      <c r="S48" s="88"/>
      <c r="T48" s="88"/>
      <c r="U48" s="84"/>
      <c r="V48" s="83" t="s">
        <v>53</v>
      </c>
      <c r="W48" s="88"/>
      <c r="X48" s="88"/>
      <c r="Y48" s="88"/>
      <c r="Z48" s="88"/>
      <c r="AA48" s="84"/>
      <c r="AB48" s="83" t="s">
        <v>54</v>
      </c>
      <c r="AC48" s="88"/>
      <c r="AD48" s="88"/>
      <c r="AE48" s="88"/>
      <c r="AF48" s="88"/>
      <c r="AG48" s="84"/>
      <c r="AH48" s="83" t="s">
        <v>55</v>
      </c>
      <c r="AI48" s="88"/>
      <c r="AJ48" s="88"/>
      <c r="AK48" s="88"/>
      <c r="AL48" s="88"/>
      <c r="AM48" s="84"/>
      <c r="AN48" s="89" t="s">
        <v>56</v>
      </c>
    </row>
    <row r="49" spans="2:40">
      <c r="B49" s="90"/>
      <c r="C49" s="90"/>
      <c r="D49" s="83" t="s">
        <v>57</v>
      </c>
      <c r="E49" s="84"/>
      <c r="F49" s="83" t="s">
        <v>58</v>
      </c>
      <c r="G49" s="84"/>
      <c r="H49" s="83" t="s">
        <v>56</v>
      </c>
      <c r="I49" s="84"/>
      <c r="J49" s="83" t="s">
        <v>57</v>
      </c>
      <c r="K49" s="84"/>
      <c r="L49" s="83" t="s">
        <v>58</v>
      </c>
      <c r="M49" s="84"/>
      <c r="N49" s="83" t="s">
        <v>56</v>
      </c>
      <c r="O49" s="84"/>
      <c r="P49" s="83" t="s">
        <v>57</v>
      </c>
      <c r="Q49" s="84"/>
      <c r="R49" s="83" t="s">
        <v>58</v>
      </c>
      <c r="S49" s="84"/>
      <c r="T49" s="83" t="s">
        <v>56</v>
      </c>
      <c r="U49" s="84"/>
      <c r="V49" s="83" t="s">
        <v>57</v>
      </c>
      <c r="W49" s="84"/>
      <c r="X49" s="83" t="s">
        <v>58</v>
      </c>
      <c r="Y49" s="84"/>
      <c r="Z49" s="83" t="s">
        <v>56</v>
      </c>
      <c r="AA49" s="84"/>
      <c r="AB49" s="83" t="s">
        <v>57</v>
      </c>
      <c r="AC49" s="84"/>
      <c r="AD49" s="83" t="s">
        <v>58</v>
      </c>
      <c r="AE49" s="84"/>
      <c r="AF49" s="83" t="s">
        <v>56</v>
      </c>
      <c r="AG49" s="84"/>
      <c r="AH49" s="83" t="s">
        <v>57</v>
      </c>
      <c r="AI49" s="84"/>
      <c r="AJ49" s="83" t="s">
        <v>58</v>
      </c>
      <c r="AK49" s="84"/>
      <c r="AL49" s="83" t="s">
        <v>56</v>
      </c>
      <c r="AM49" s="84"/>
      <c r="AN49" s="90"/>
    </row>
    <row r="50" spans="2:40">
      <c r="B50" s="91"/>
      <c r="C50" s="91"/>
      <c r="D50" s="4" t="s">
        <v>59</v>
      </c>
      <c r="E50" s="4" t="s">
        <v>60</v>
      </c>
      <c r="F50" s="4" t="s">
        <v>59</v>
      </c>
      <c r="G50" s="4" t="s">
        <v>60</v>
      </c>
      <c r="H50" s="4" t="s">
        <v>59</v>
      </c>
      <c r="I50" s="4" t="s">
        <v>60</v>
      </c>
      <c r="J50" s="4" t="s">
        <v>59</v>
      </c>
      <c r="K50" s="4" t="s">
        <v>60</v>
      </c>
      <c r="L50" s="4" t="s">
        <v>59</v>
      </c>
      <c r="M50" s="4" t="s">
        <v>60</v>
      </c>
      <c r="N50" s="4" t="s">
        <v>59</v>
      </c>
      <c r="O50" s="4" t="s">
        <v>60</v>
      </c>
      <c r="P50" s="4" t="s">
        <v>59</v>
      </c>
      <c r="Q50" s="4" t="s">
        <v>60</v>
      </c>
      <c r="R50" s="4" t="s">
        <v>59</v>
      </c>
      <c r="S50" s="4" t="s">
        <v>60</v>
      </c>
      <c r="T50" s="4" t="s">
        <v>59</v>
      </c>
      <c r="U50" s="4" t="s">
        <v>60</v>
      </c>
      <c r="V50" s="4" t="s">
        <v>59</v>
      </c>
      <c r="W50" s="4" t="s">
        <v>60</v>
      </c>
      <c r="X50" s="4" t="s">
        <v>59</v>
      </c>
      <c r="Y50" s="4" t="s">
        <v>60</v>
      </c>
      <c r="Z50" s="4" t="s">
        <v>59</v>
      </c>
      <c r="AA50" s="4" t="s">
        <v>60</v>
      </c>
      <c r="AB50" s="4" t="s">
        <v>59</v>
      </c>
      <c r="AC50" s="4" t="s">
        <v>60</v>
      </c>
      <c r="AD50" s="4" t="s">
        <v>59</v>
      </c>
      <c r="AE50" s="4" t="s">
        <v>60</v>
      </c>
      <c r="AF50" s="4" t="s">
        <v>59</v>
      </c>
      <c r="AG50" s="4" t="s">
        <v>60</v>
      </c>
      <c r="AH50" s="4" t="s">
        <v>59</v>
      </c>
      <c r="AI50" s="4" t="s">
        <v>60</v>
      </c>
      <c r="AJ50" s="4" t="s">
        <v>59</v>
      </c>
      <c r="AK50" s="4" t="s">
        <v>60</v>
      </c>
      <c r="AL50" s="4" t="s">
        <v>59</v>
      </c>
      <c r="AM50" s="4" t="s">
        <v>60</v>
      </c>
      <c r="AN50" s="91"/>
    </row>
    <row r="51" spans="2:40">
      <c r="B51" s="5">
        <v>1</v>
      </c>
      <c r="C51" s="6" t="s">
        <v>61</v>
      </c>
      <c r="D51" s="5">
        <v>247</v>
      </c>
      <c r="E51" s="5">
        <v>49.9</v>
      </c>
      <c r="F51" s="5">
        <v>248</v>
      </c>
      <c r="G51" s="5">
        <v>50.1</v>
      </c>
      <c r="H51" s="5">
        <v>495</v>
      </c>
      <c r="I51" s="5">
        <v>6.03</v>
      </c>
      <c r="J51" s="5">
        <v>488</v>
      </c>
      <c r="K51" s="5">
        <v>50.21</v>
      </c>
      <c r="L51" s="5">
        <v>484</v>
      </c>
      <c r="M51" s="5">
        <v>49.79</v>
      </c>
      <c r="N51" s="5">
        <v>972</v>
      </c>
      <c r="O51" s="5">
        <v>11.84</v>
      </c>
      <c r="P51" s="7">
        <v>1371</v>
      </c>
      <c r="Q51" s="5">
        <v>48.07</v>
      </c>
      <c r="R51" s="7">
        <v>1481</v>
      </c>
      <c r="S51" s="5">
        <v>51.93</v>
      </c>
      <c r="T51" s="7">
        <v>2852</v>
      </c>
      <c r="U51" s="5">
        <v>34.74</v>
      </c>
      <c r="V51" s="7">
        <v>1204</v>
      </c>
      <c r="W51" s="5">
        <v>48.61</v>
      </c>
      <c r="X51" s="7">
        <v>1273</v>
      </c>
      <c r="Y51" s="5">
        <v>51.39</v>
      </c>
      <c r="Z51" s="7">
        <v>2477</v>
      </c>
      <c r="AA51" s="5">
        <v>30.17</v>
      </c>
      <c r="AB51" s="5">
        <v>605</v>
      </c>
      <c r="AC51" s="5">
        <v>42.82</v>
      </c>
      <c r="AD51" s="5">
        <v>808</v>
      </c>
      <c r="AE51" s="5">
        <v>57.18</v>
      </c>
      <c r="AF51" s="7">
        <v>1413</v>
      </c>
      <c r="AG51" s="5">
        <v>17.21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7">
        <v>8209</v>
      </c>
    </row>
    <row r="52" spans="2:40">
      <c r="B52" s="5">
        <v>2</v>
      </c>
      <c r="C52" s="6" t="s">
        <v>62</v>
      </c>
      <c r="D52" s="5">
        <v>272</v>
      </c>
      <c r="E52" s="5">
        <v>50.65</v>
      </c>
      <c r="F52" s="5">
        <v>265</v>
      </c>
      <c r="G52" s="5">
        <v>49.35</v>
      </c>
      <c r="H52" s="5">
        <v>537</v>
      </c>
      <c r="I52" s="5">
        <v>3.55</v>
      </c>
      <c r="J52" s="5">
        <v>538</v>
      </c>
      <c r="K52" s="5">
        <v>50.75</v>
      </c>
      <c r="L52" s="5">
        <v>522</v>
      </c>
      <c r="M52" s="5">
        <v>49.25</v>
      </c>
      <c r="N52" s="7">
        <v>1060</v>
      </c>
      <c r="O52" s="5">
        <v>7.01</v>
      </c>
      <c r="P52" s="7">
        <v>2132</v>
      </c>
      <c r="Q52" s="5">
        <v>52.04</v>
      </c>
      <c r="R52" s="7">
        <v>1965</v>
      </c>
      <c r="S52" s="5">
        <v>47.96</v>
      </c>
      <c r="T52" s="7">
        <v>4097</v>
      </c>
      <c r="U52" s="5">
        <v>27.09</v>
      </c>
      <c r="V52" s="7">
        <v>2588</v>
      </c>
      <c r="W52" s="5">
        <v>51.62</v>
      </c>
      <c r="X52" s="7">
        <v>2426</v>
      </c>
      <c r="Y52" s="5">
        <v>48.38</v>
      </c>
      <c r="Z52" s="7">
        <v>5014</v>
      </c>
      <c r="AA52" s="5">
        <v>33.159999999999997</v>
      </c>
      <c r="AB52" s="7">
        <v>2093</v>
      </c>
      <c r="AC52" s="5">
        <v>47.42</v>
      </c>
      <c r="AD52" s="7">
        <v>2321</v>
      </c>
      <c r="AE52" s="5">
        <v>52.58</v>
      </c>
      <c r="AF52" s="7">
        <v>4414</v>
      </c>
      <c r="AG52" s="5">
        <v>29.19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7">
        <v>15122</v>
      </c>
    </row>
    <row r="53" spans="2:40">
      <c r="B53" s="5">
        <v>3</v>
      </c>
      <c r="C53" s="6" t="s">
        <v>63</v>
      </c>
      <c r="D53" s="5">
        <v>67</v>
      </c>
      <c r="E53" s="5">
        <v>47.52</v>
      </c>
      <c r="F53" s="5">
        <v>74</v>
      </c>
      <c r="G53" s="5">
        <v>52.48</v>
      </c>
      <c r="H53" s="5">
        <v>141</v>
      </c>
      <c r="I53" s="5">
        <v>5.38</v>
      </c>
      <c r="J53" s="5">
        <v>161</v>
      </c>
      <c r="K53" s="5">
        <v>50.16</v>
      </c>
      <c r="L53" s="5">
        <v>160</v>
      </c>
      <c r="M53" s="5">
        <v>49.84</v>
      </c>
      <c r="N53" s="5">
        <v>321</v>
      </c>
      <c r="O53" s="5">
        <v>12.25</v>
      </c>
      <c r="P53" s="5">
        <v>519</v>
      </c>
      <c r="Q53" s="5">
        <v>50.44</v>
      </c>
      <c r="R53" s="5">
        <v>510</v>
      </c>
      <c r="S53" s="5">
        <v>49.56</v>
      </c>
      <c r="T53" s="7">
        <v>1029</v>
      </c>
      <c r="U53" s="5">
        <v>39.270000000000003</v>
      </c>
      <c r="V53" s="5">
        <v>377</v>
      </c>
      <c r="W53" s="5">
        <v>50.07</v>
      </c>
      <c r="X53" s="5">
        <v>376</v>
      </c>
      <c r="Y53" s="5">
        <v>49.93</v>
      </c>
      <c r="Z53" s="5">
        <v>753</v>
      </c>
      <c r="AA53" s="5">
        <v>28.74</v>
      </c>
      <c r="AB53" s="5">
        <v>178</v>
      </c>
      <c r="AC53" s="5">
        <v>47.34</v>
      </c>
      <c r="AD53" s="5">
        <v>198</v>
      </c>
      <c r="AE53" s="5">
        <v>52.66</v>
      </c>
      <c r="AF53" s="5">
        <v>376</v>
      </c>
      <c r="AG53" s="5">
        <v>14.35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7">
        <v>2620</v>
      </c>
    </row>
    <row r="54" spans="2:40">
      <c r="B54" s="5">
        <v>4</v>
      </c>
      <c r="C54" s="6" t="s">
        <v>64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</row>
    <row r="55" spans="2:40">
      <c r="B55" s="85" t="s">
        <v>56</v>
      </c>
      <c r="C55" s="86"/>
      <c r="D55" s="8">
        <v>586</v>
      </c>
      <c r="E55" s="8">
        <v>49.96</v>
      </c>
      <c r="F55" s="8">
        <v>587</v>
      </c>
      <c r="G55" s="8">
        <v>50.04</v>
      </c>
      <c r="H55" s="9">
        <v>1173</v>
      </c>
      <c r="I55" s="8">
        <v>4.5199999999999996</v>
      </c>
      <c r="J55" s="9">
        <v>1187</v>
      </c>
      <c r="K55" s="8">
        <v>50.45</v>
      </c>
      <c r="L55" s="9">
        <v>1166</v>
      </c>
      <c r="M55" s="8">
        <v>49.55</v>
      </c>
      <c r="N55" s="9">
        <v>2353</v>
      </c>
      <c r="O55" s="8">
        <v>9.07</v>
      </c>
      <c r="P55" s="9">
        <v>4022</v>
      </c>
      <c r="Q55" s="8">
        <v>50.41</v>
      </c>
      <c r="R55" s="9">
        <v>3956</v>
      </c>
      <c r="S55" s="8">
        <v>49.59</v>
      </c>
      <c r="T55" s="9">
        <v>7978</v>
      </c>
      <c r="U55" s="8">
        <v>30.74</v>
      </c>
      <c r="V55" s="9">
        <v>4169</v>
      </c>
      <c r="W55" s="8">
        <v>50.57</v>
      </c>
      <c r="X55" s="9">
        <v>4075</v>
      </c>
      <c r="Y55" s="8">
        <v>49.43</v>
      </c>
      <c r="Z55" s="9">
        <v>8244</v>
      </c>
      <c r="AA55" s="8">
        <v>31.77</v>
      </c>
      <c r="AB55" s="9">
        <v>2876</v>
      </c>
      <c r="AC55" s="8">
        <v>46.36</v>
      </c>
      <c r="AD55" s="9">
        <v>3327</v>
      </c>
      <c r="AE55" s="8">
        <v>53.64</v>
      </c>
      <c r="AF55" s="9">
        <v>6203</v>
      </c>
      <c r="AG55" s="8">
        <v>23.9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9">
        <v>25951</v>
      </c>
    </row>
    <row r="56" spans="2:40"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</row>
  </sheetData>
  <mergeCells count="119">
    <mergeCell ref="AB6:AG6"/>
    <mergeCell ref="AH6:AM6"/>
    <mergeCell ref="AN6:AN8"/>
    <mergeCell ref="D7:E7"/>
    <mergeCell ref="F7:G7"/>
    <mergeCell ref="H7:I7"/>
    <mergeCell ref="J7:K7"/>
    <mergeCell ref="L7:M7"/>
    <mergeCell ref="N7:O7"/>
    <mergeCell ref="P7:Q7"/>
    <mergeCell ref="D6:I6"/>
    <mergeCell ref="J6:O6"/>
    <mergeCell ref="P6:U6"/>
    <mergeCell ref="V6:AA6"/>
    <mergeCell ref="R7:S7"/>
    <mergeCell ref="T7:U7"/>
    <mergeCell ref="V7:W7"/>
    <mergeCell ref="X7:Y7"/>
    <mergeCell ref="AL7:AM7"/>
    <mergeCell ref="B13:C13"/>
    <mergeCell ref="B20:B22"/>
    <mergeCell ref="C20:C22"/>
    <mergeCell ref="D20:I20"/>
    <mergeCell ref="J20:O20"/>
    <mergeCell ref="P20:U20"/>
    <mergeCell ref="V20:AA20"/>
    <mergeCell ref="AB20:AG20"/>
    <mergeCell ref="AH20:AM20"/>
    <mergeCell ref="Z7:AA7"/>
    <mergeCell ref="AB7:AC7"/>
    <mergeCell ref="AD7:AE7"/>
    <mergeCell ref="AF7:AG7"/>
    <mergeCell ref="AH7:AI7"/>
    <mergeCell ref="AJ7:AK7"/>
    <mergeCell ref="B6:B8"/>
    <mergeCell ref="C6:C8"/>
    <mergeCell ref="AN20:AN22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AH21:AI21"/>
    <mergeCell ref="AJ21:AK21"/>
    <mergeCell ref="AL21:AM21"/>
    <mergeCell ref="B27:C27"/>
    <mergeCell ref="B34:B36"/>
    <mergeCell ref="C34:C36"/>
    <mergeCell ref="D34:I34"/>
    <mergeCell ref="J34:O34"/>
    <mergeCell ref="P34:U34"/>
    <mergeCell ref="V34:AA34"/>
    <mergeCell ref="V21:W21"/>
    <mergeCell ref="X21:Y21"/>
    <mergeCell ref="Z21:AA21"/>
    <mergeCell ref="AB21:AC21"/>
    <mergeCell ref="AD21:AE21"/>
    <mergeCell ref="AF21:AG21"/>
    <mergeCell ref="AB34:AG34"/>
    <mergeCell ref="AH34:AM34"/>
    <mergeCell ref="AN34:AN36"/>
    <mergeCell ref="D35:E35"/>
    <mergeCell ref="F35:G35"/>
    <mergeCell ref="H35:I35"/>
    <mergeCell ref="J35:K35"/>
    <mergeCell ref="L35:M35"/>
    <mergeCell ref="N35:O35"/>
    <mergeCell ref="P35:Q35"/>
    <mergeCell ref="AD35:AE35"/>
    <mergeCell ref="AF35:AG35"/>
    <mergeCell ref="AH35:AI35"/>
    <mergeCell ref="AJ35:AK35"/>
    <mergeCell ref="AL35:AM35"/>
    <mergeCell ref="B41:C41"/>
    <mergeCell ref="R35:S35"/>
    <mergeCell ref="T35:U35"/>
    <mergeCell ref="V35:W35"/>
    <mergeCell ref="X35:Y35"/>
    <mergeCell ref="Z35:AA35"/>
    <mergeCell ref="AB35:AC35"/>
    <mergeCell ref="P49:Q49"/>
    <mergeCell ref="B48:B50"/>
    <mergeCell ref="C48:C50"/>
    <mergeCell ref="D48:I48"/>
    <mergeCell ref="J48:O48"/>
    <mergeCell ref="P48:U48"/>
    <mergeCell ref="V48:AA48"/>
    <mergeCell ref="R49:S49"/>
    <mergeCell ref="T49:U49"/>
    <mergeCell ref="V49:W49"/>
    <mergeCell ref="X49:Y49"/>
    <mergeCell ref="B56:AN56"/>
    <mergeCell ref="AL49:AM49"/>
    <mergeCell ref="B55:C55"/>
    <mergeCell ref="B14:AN14"/>
    <mergeCell ref="B15:AN15"/>
    <mergeCell ref="B28:AN28"/>
    <mergeCell ref="B29:AN29"/>
    <mergeCell ref="B42:AN42"/>
    <mergeCell ref="B43:AN43"/>
    <mergeCell ref="Z49:AA49"/>
    <mergeCell ref="AB49:AC49"/>
    <mergeCell ref="AD49:AE49"/>
    <mergeCell ref="AF49:AG49"/>
    <mergeCell ref="AH49:AI49"/>
    <mergeCell ref="AJ49:AK49"/>
    <mergeCell ref="AB48:AG48"/>
    <mergeCell ref="AH48:AM48"/>
    <mergeCell ref="AN48:AN50"/>
    <mergeCell ref="D49:E49"/>
    <mergeCell ref="F49:G49"/>
    <mergeCell ref="H49:I49"/>
    <mergeCell ref="J49:K49"/>
    <mergeCell ref="L49:M49"/>
    <mergeCell ref="N49:O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F3809-375F-4266-9D94-58183102981A}">
  <dimension ref="B2:AN84"/>
  <sheetViews>
    <sheetView topLeftCell="S66" workbookViewId="0">
      <selection activeCell="G4" sqref="G4"/>
    </sheetView>
  </sheetViews>
  <sheetFormatPr defaultRowHeight="14.5"/>
  <cols>
    <col min="4" max="4" width="11.6328125" customWidth="1"/>
  </cols>
  <sheetData>
    <row r="2" spans="2:40">
      <c r="B2" s="1" t="s">
        <v>41</v>
      </c>
      <c r="C2" s="1" t="s">
        <v>42</v>
      </c>
      <c r="D2" s="2" t="s">
        <v>43</v>
      </c>
    </row>
    <row r="3" spans="2:40">
      <c r="B3" s="1" t="s">
        <v>44</v>
      </c>
      <c r="C3" s="1" t="s">
        <v>42</v>
      </c>
      <c r="D3" s="2" t="s">
        <v>73</v>
      </c>
    </row>
    <row r="4" spans="2:40">
      <c r="B4" s="1" t="s">
        <v>1</v>
      </c>
      <c r="C4" s="1" t="s">
        <v>42</v>
      </c>
      <c r="D4" s="2" t="s">
        <v>74</v>
      </c>
    </row>
    <row r="5" spans="2:40">
      <c r="B5" s="1" t="s">
        <v>47</v>
      </c>
      <c r="C5" s="1" t="s">
        <v>42</v>
      </c>
      <c r="D5" s="3">
        <v>46184</v>
      </c>
    </row>
    <row r="6" spans="2:40">
      <c r="B6" s="89" t="s">
        <v>48</v>
      </c>
      <c r="C6" s="89" t="s">
        <v>49</v>
      </c>
      <c r="D6" s="83" t="s">
        <v>50</v>
      </c>
      <c r="E6" s="88"/>
      <c r="F6" s="88"/>
      <c r="G6" s="88"/>
      <c r="H6" s="88"/>
      <c r="I6" s="84"/>
      <c r="J6" s="83" t="s">
        <v>51</v>
      </c>
      <c r="K6" s="88"/>
      <c r="L6" s="88"/>
      <c r="M6" s="88"/>
      <c r="N6" s="88"/>
      <c r="O6" s="84"/>
      <c r="P6" s="83" t="s">
        <v>52</v>
      </c>
      <c r="Q6" s="88"/>
      <c r="R6" s="88"/>
      <c r="S6" s="88"/>
      <c r="T6" s="88"/>
      <c r="U6" s="84"/>
      <c r="V6" s="83" t="s">
        <v>53</v>
      </c>
      <c r="W6" s="88"/>
      <c r="X6" s="88"/>
      <c r="Y6" s="88"/>
      <c r="Z6" s="88"/>
      <c r="AA6" s="84"/>
      <c r="AB6" s="83" t="s">
        <v>54</v>
      </c>
      <c r="AC6" s="88"/>
      <c r="AD6" s="88"/>
      <c r="AE6" s="88"/>
      <c r="AF6" s="88"/>
      <c r="AG6" s="84"/>
      <c r="AH6" s="83" t="s">
        <v>55</v>
      </c>
      <c r="AI6" s="88"/>
      <c r="AJ6" s="88"/>
      <c r="AK6" s="88"/>
      <c r="AL6" s="88"/>
      <c r="AM6" s="84"/>
      <c r="AN6" s="89" t="s">
        <v>56</v>
      </c>
    </row>
    <row r="7" spans="2:40">
      <c r="B7" s="90"/>
      <c r="C7" s="90"/>
      <c r="D7" s="83" t="s">
        <v>57</v>
      </c>
      <c r="E7" s="84"/>
      <c r="F7" s="83" t="s">
        <v>58</v>
      </c>
      <c r="G7" s="84"/>
      <c r="H7" s="83" t="s">
        <v>56</v>
      </c>
      <c r="I7" s="84"/>
      <c r="J7" s="83" t="s">
        <v>57</v>
      </c>
      <c r="K7" s="84"/>
      <c r="L7" s="83" t="s">
        <v>58</v>
      </c>
      <c r="M7" s="84"/>
      <c r="N7" s="83" t="s">
        <v>56</v>
      </c>
      <c r="O7" s="84"/>
      <c r="P7" s="83" t="s">
        <v>57</v>
      </c>
      <c r="Q7" s="84"/>
      <c r="R7" s="83" t="s">
        <v>58</v>
      </c>
      <c r="S7" s="84"/>
      <c r="T7" s="83" t="s">
        <v>56</v>
      </c>
      <c r="U7" s="84"/>
      <c r="V7" s="83" t="s">
        <v>57</v>
      </c>
      <c r="W7" s="84"/>
      <c r="X7" s="83" t="s">
        <v>58</v>
      </c>
      <c r="Y7" s="84"/>
      <c r="Z7" s="83" t="s">
        <v>56</v>
      </c>
      <c r="AA7" s="84"/>
      <c r="AB7" s="83" t="s">
        <v>57</v>
      </c>
      <c r="AC7" s="84"/>
      <c r="AD7" s="83" t="s">
        <v>58</v>
      </c>
      <c r="AE7" s="84"/>
      <c r="AF7" s="83" t="s">
        <v>56</v>
      </c>
      <c r="AG7" s="84"/>
      <c r="AH7" s="83" t="s">
        <v>57</v>
      </c>
      <c r="AI7" s="84"/>
      <c r="AJ7" s="83" t="s">
        <v>58</v>
      </c>
      <c r="AK7" s="84"/>
      <c r="AL7" s="83" t="s">
        <v>56</v>
      </c>
      <c r="AM7" s="84"/>
      <c r="AN7" s="90"/>
    </row>
    <row r="8" spans="2:40">
      <c r="B8" s="91"/>
      <c r="C8" s="91"/>
      <c r="D8" s="4" t="s">
        <v>59</v>
      </c>
      <c r="E8" s="4" t="s">
        <v>60</v>
      </c>
      <c r="F8" s="4" t="s">
        <v>59</v>
      </c>
      <c r="G8" s="4" t="s">
        <v>60</v>
      </c>
      <c r="H8" s="4" t="s">
        <v>59</v>
      </c>
      <c r="I8" s="4" t="s">
        <v>60</v>
      </c>
      <c r="J8" s="4" t="s">
        <v>59</v>
      </c>
      <c r="K8" s="4" t="s">
        <v>60</v>
      </c>
      <c r="L8" s="4" t="s">
        <v>59</v>
      </c>
      <c r="M8" s="4" t="s">
        <v>60</v>
      </c>
      <c r="N8" s="4" t="s">
        <v>59</v>
      </c>
      <c r="O8" s="4" t="s">
        <v>60</v>
      </c>
      <c r="P8" s="4" t="s">
        <v>59</v>
      </c>
      <c r="Q8" s="4" t="s">
        <v>60</v>
      </c>
      <c r="R8" s="4" t="s">
        <v>59</v>
      </c>
      <c r="S8" s="4" t="s">
        <v>60</v>
      </c>
      <c r="T8" s="4" t="s">
        <v>59</v>
      </c>
      <c r="U8" s="4" t="s">
        <v>60</v>
      </c>
      <c r="V8" s="4" t="s">
        <v>59</v>
      </c>
      <c r="W8" s="4" t="s">
        <v>60</v>
      </c>
      <c r="X8" s="4" t="s">
        <v>59</v>
      </c>
      <c r="Y8" s="4" t="s">
        <v>60</v>
      </c>
      <c r="Z8" s="4" t="s">
        <v>59</v>
      </c>
      <c r="AA8" s="4" t="s">
        <v>60</v>
      </c>
      <c r="AB8" s="4" t="s">
        <v>59</v>
      </c>
      <c r="AC8" s="4" t="s">
        <v>60</v>
      </c>
      <c r="AD8" s="4" t="s">
        <v>59</v>
      </c>
      <c r="AE8" s="4" t="s">
        <v>60</v>
      </c>
      <c r="AF8" s="4" t="s">
        <v>59</v>
      </c>
      <c r="AG8" s="4" t="s">
        <v>60</v>
      </c>
      <c r="AH8" s="4" t="s">
        <v>59</v>
      </c>
      <c r="AI8" s="4" t="s">
        <v>60</v>
      </c>
      <c r="AJ8" s="4" t="s">
        <v>59</v>
      </c>
      <c r="AK8" s="4" t="s">
        <v>60</v>
      </c>
      <c r="AL8" s="4" t="s">
        <v>59</v>
      </c>
      <c r="AM8" s="4" t="s">
        <v>60</v>
      </c>
      <c r="AN8" s="91"/>
    </row>
    <row r="9" spans="2:40">
      <c r="B9" s="5">
        <v>1</v>
      </c>
      <c r="C9" s="6" t="s">
        <v>61</v>
      </c>
      <c r="D9" s="5">
        <v>624</v>
      </c>
      <c r="E9" s="5">
        <v>50.53</v>
      </c>
      <c r="F9" s="5">
        <v>611</v>
      </c>
      <c r="G9" s="5">
        <v>49.47</v>
      </c>
      <c r="H9" s="7">
        <v>1235</v>
      </c>
      <c r="I9" s="5">
        <v>5.41</v>
      </c>
      <c r="J9" s="7">
        <v>1390</v>
      </c>
      <c r="K9" s="5">
        <v>50.18</v>
      </c>
      <c r="L9" s="7">
        <v>1380</v>
      </c>
      <c r="M9" s="5">
        <v>49.82</v>
      </c>
      <c r="N9" s="7">
        <v>2770</v>
      </c>
      <c r="O9" s="5">
        <v>12.14</v>
      </c>
      <c r="P9" s="7">
        <v>4197</v>
      </c>
      <c r="Q9" s="5">
        <v>49.9</v>
      </c>
      <c r="R9" s="7">
        <v>4213</v>
      </c>
      <c r="S9" s="5">
        <v>50.1</v>
      </c>
      <c r="T9" s="7">
        <v>8410</v>
      </c>
      <c r="U9" s="5">
        <v>36.86</v>
      </c>
      <c r="V9" s="7">
        <v>3076</v>
      </c>
      <c r="W9" s="5">
        <v>47.62</v>
      </c>
      <c r="X9" s="7">
        <v>3384</v>
      </c>
      <c r="Y9" s="5">
        <v>52.38</v>
      </c>
      <c r="Z9" s="7">
        <v>6460</v>
      </c>
      <c r="AA9" s="5">
        <v>28.32</v>
      </c>
      <c r="AB9" s="7">
        <v>1843</v>
      </c>
      <c r="AC9" s="5">
        <v>46.79</v>
      </c>
      <c r="AD9" s="7">
        <v>2096</v>
      </c>
      <c r="AE9" s="5">
        <v>53.21</v>
      </c>
      <c r="AF9" s="7">
        <v>3939</v>
      </c>
      <c r="AG9" s="5">
        <v>17.27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7">
        <v>22814</v>
      </c>
    </row>
    <row r="10" spans="2:40">
      <c r="B10" s="5">
        <v>2</v>
      </c>
      <c r="C10" s="6" t="s">
        <v>62</v>
      </c>
      <c r="D10" s="5">
        <v>88</v>
      </c>
      <c r="E10" s="5">
        <v>50</v>
      </c>
      <c r="F10" s="5">
        <v>88</v>
      </c>
      <c r="G10" s="5">
        <v>50</v>
      </c>
      <c r="H10" s="5">
        <v>176</v>
      </c>
      <c r="I10" s="5">
        <v>3.95</v>
      </c>
      <c r="J10" s="5">
        <v>189</v>
      </c>
      <c r="K10" s="5">
        <v>49.22</v>
      </c>
      <c r="L10" s="5">
        <v>195</v>
      </c>
      <c r="M10" s="5">
        <v>50.78</v>
      </c>
      <c r="N10" s="5">
        <v>384</v>
      </c>
      <c r="O10" s="5">
        <v>8.6199999999999992</v>
      </c>
      <c r="P10" s="5">
        <v>636</v>
      </c>
      <c r="Q10" s="5">
        <v>54.5</v>
      </c>
      <c r="R10" s="5">
        <v>531</v>
      </c>
      <c r="S10" s="5">
        <v>45.5</v>
      </c>
      <c r="T10" s="7">
        <v>1167</v>
      </c>
      <c r="U10" s="5">
        <v>26.18</v>
      </c>
      <c r="V10" s="5">
        <v>843</v>
      </c>
      <c r="W10" s="5">
        <v>53.39</v>
      </c>
      <c r="X10" s="5">
        <v>736</v>
      </c>
      <c r="Y10" s="5">
        <v>46.61</v>
      </c>
      <c r="Z10" s="7">
        <v>1579</v>
      </c>
      <c r="AA10" s="5">
        <v>35.43</v>
      </c>
      <c r="AB10" s="5">
        <v>556</v>
      </c>
      <c r="AC10" s="5">
        <v>48.31</v>
      </c>
      <c r="AD10" s="5">
        <v>595</v>
      </c>
      <c r="AE10" s="5">
        <v>51.69</v>
      </c>
      <c r="AF10" s="7">
        <v>1151</v>
      </c>
      <c r="AG10" s="5">
        <v>25.82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7">
        <v>4457</v>
      </c>
    </row>
    <row r="11" spans="2:40">
      <c r="B11" s="5">
        <v>3</v>
      </c>
      <c r="C11" s="6" t="s">
        <v>63</v>
      </c>
      <c r="D11" s="5">
        <v>30</v>
      </c>
      <c r="E11" s="5">
        <v>53.57</v>
      </c>
      <c r="F11" s="5">
        <v>26</v>
      </c>
      <c r="G11" s="5">
        <v>46.43</v>
      </c>
      <c r="H11" s="5">
        <v>56</v>
      </c>
      <c r="I11" s="5">
        <v>4</v>
      </c>
      <c r="J11" s="5">
        <v>53</v>
      </c>
      <c r="K11" s="5">
        <v>46.09</v>
      </c>
      <c r="L11" s="5">
        <v>62</v>
      </c>
      <c r="M11" s="5">
        <v>53.91</v>
      </c>
      <c r="N11" s="5">
        <v>115</v>
      </c>
      <c r="O11" s="5">
        <v>8.2100000000000009</v>
      </c>
      <c r="P11" s="5">
        <v>197</v>
      </c>
      <c r="Q11" s="5">
        <v>48.05</v>
      </c>
      <c r="R11" s="5">
        <v>213</v>
      </c>
      <c r="S11" s="5">
        <v>51.95</v>
      </c>
      <c r="T11" s="5">
        <v>410</v>
      </c>
      <c r="U11" s="5">
        <v>29.29</v>
      </c>
      <c r="V11" s="5">
        <v>234</v>
      </c>
      <c r="W11" s="5">
        <v>47.66</v>
      </c>
      <c r="X11" s="5">
        <v>257</v>
      </c>
      <c r="Y11" s="5">
        <v>52.34</v>
      </c>
      <c r="Z11" s="5">
        <v>491</v>
      </c>
      <c r="AA11" s="5">
        <v>35.07</v>
      </c>
      <c r="AB11" s="5">
        <v>146</v>
      </c>
      <c r="AC11" s="5">
        <v>44.51</v>
      </c>
      <c r="AD11" s="5">
        <v>182</v>
      </c>
      <c r="AE11" s="5">
        <v>55.49</v>
      </c>
      <c r="AF11" s="5">
        <v>328</v>
      </c>
      <c r="AG11" s="5">
        <v>23.43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7">
        <v>1400</v>
      </c>
    </row>
    <row r="12" spans="2:40">
      <c r="B12" s="5">
        <v>4</v>
      </c>
      <c r="C12" s="6" t="s">
        <v>64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</row>
    <row r="13" spans="2:40">
      <c r="B13" s="85" t="s">
        <v>56</v>
      </c>
      <c r="C13" s="86"/>
      <c r="D13" s="8">
        <v>742</v>
      </c>
      <c r="E13" s="8">
        <v>50.58</v>
      </c>
      <c r="F13" s="8">
        <v>725</v>
      </c>
      <c r="G13" s="8">
        <v>49.42</v>
      </c>
      <c r="H13" s="9">
        <v>1467</v>
      </c>
      <c r="I13" s="8">
        <v>5.12</v>
      </c>
      <c r="J13" s="9">
        <v>1632</v>
      </c>
      <c r="K13" s="8">
        <v>49.92</v>
      </c>
      <c r="L13" s="9">
        <v>1637</v>
      </c>
      <c r="M13" s="8">
        <v>50.08</v>
      </c>
      <c r="N13" s="9">
        <v>3269</v>
      </c>
      <c r="O13" s="8">
        <v>11.4</v>
      </c>
      <c r="P13" s="9">
        <v>5030</v>
      </c>
      <c r="Q13" s="8">
        <v>50.37</v>
      </c>
      <c r="R13" s="9">
        <v>4957</v>
      </c>
      <c r="S13" s="8">
        <v>49.63</v>
      </c>
      <c r="T13" s="9">
        <v>9987</v>
      </c>
      <c r="U13" s="8">
        <v>34.83</v>
      </c>
      <c r="V13" s="9">
        <v>4153</v>
      </c>
      <c r="W13" s="8">
        <v>48.69</v>
      </c>
      <c r="X13" s="9">
        <v>4377</v>
      </c>
      <c r="Y13" s="8">
        <v>51.31</v>
      </c>
      <c r="Z13" s="9">
        <v>8530</v>
      </c>
      <c r="AA13" s="8">
        <v>29.75</v>
      </c>
      <c r="AB13" s="9">
        <v>2545</v>
      </c>
      <c r="AC13" s="8">
        <v>46.97</v>
      </c>
      <c r="AD13" s="9">
        <v>2873</v>
      </c>
      <c r="AE13" s="8">
        <v>53.03</v>
      </c>
      <c r="AF13" s="9">
        <v>5418</v>
      </c>
      <c r="AG13" s="8">
        <v>18.899999999999999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9">
        <v>28671</v>
      </c>
    </row>
    <row r="14" spans="2:40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</row>
    <row r="15" spans="2:40"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</row>
    <row r="16" spans="2:40">
      <c r="B16" s="1" t="s">
        <v>41</v>
      </c>
      <c r="C16" s="1" t="s">
        <v>42</v>
      </c>
      <c r="D16" s="2" t="s">
        <v>43</v>
      </c>
    </row>
    <row r="17" spans="2:40">
      <c r="B17" s="1" t="s">
        <v>44</v>
      </c>
      <c r="C17" s="1" t="s">
        <v>42</v>
      </c>
      <c r="D17" s="2" t="s">
        <v>73</v>
      </c>
    </row>
    <row r="18" spans="2:40">
      <c r="B18" s="1" t="s">
        <v>1</v>
      </c>
      <c r="C18" s="1" t="s">
        <v>42</v>
      </c>
      <c r="D18" s="2" t="s">
        <v>75</v>
      </c>
    </row>
    <row r="19" spans="2:40">
      <c r="B19" s="1" t="s">
        <v>47</v>
      </c>
      <c r="C19" s="1" t="s">
        <v>42</v>
      </c>
      <c r="D19" s="3">
        <v>46184</v>
      </c>
    </row>
    <row r="20" spans="2:40">
      <c r="B20" s="89" t="s">
        <v>48</v>
      </c>
      <c r="C20" s="89" t="s">
        <v>49</v>
      </c>
      <c r="D20" s="83" t="s">
        <v>50</v>
      </c>
      <c r="E20" s="88"/>
      <c r="F20" s="88"/>
      <c r="G20" s="88"/>
      <c r="H20" s="88"/>
      <c r="I20" s="84"/>
      <c r="J20" s="83" t="s">
        <v>51</v>
      </c>
      <c r="K20" s="88"/>
      <c r="L20" s="88"/>
      <c r="M20" s="88"/>
      <c r="N20" s="88"/>
      <c r="O20" s="84"/>
      <c r="P20" s="83" t="s">
        <v>52</v>
      </c>
      <c r="Q20" s="88"/>
      <c r="R20" s="88"/>
      <c r="S20" s="88"/>
      <c r="T20" s="88"/>
      <c r="U20" s="84"/>
      <c r="V20" s="83" t="s">
        <v>53</v>
      </c>
      <c r="W20" s="88"/>
      <c r="X20" s="88"/>
      <c r="Y20" s="88"/>
      <c r="Z20" s="88"/>
      <c r="AA20" s="84"/>
      <c r="AB20" s="83" t="s">
        <v>54</v>
      </c>
      <c r="AC20" s="88"/>
      <c r="AD20" s="88"/>
      <c r="AE20" s="88"/>
      <c r="AF20" s="88"/>
      <c r="AG20" s="84"/>
      <c r="AH20" s="83" t="s">
        <v>55</v>
      </c>
      <c r="AI20" s="88"/>
      <c r="AJ20" s="88"/>
      <c r="AK20" s="88"/>
      <c r="AL20" s="88"/>
      <c r="AM20" s="84"/>
      <c r="AN20" s="89" t="s">
        <v>56</v>
      </c>
    </row>
    <row r="21" spans="2:40">
      <c r="B21" s="90"/>
      <c r="C21" s="90"/>
      <c r="D21" s="83" t="s">
        <v>57</v>
      </c>
      <c r="E21" s="84"/>
      <c r="F21" s="83" t="s">
        <v>58</v>
      </c>
      <c r="G21" s="84"/>
      <c r="H21" s="83" t="s">
        <v>56</v>
      </c>
      <c r="I21" s="84"/>
      <c r="J21" s="83" t="s">
        <v>57</v>
      </c>
      <c r="K21" s="84"/>
      <c r="L21" s="83" t="s">
        <v>58</v>
      </c>
      <c r="M21" s="84"/>
      <c r="N21" s="83" t="s">
        <v>56</v>
      </c>
      <c r="O21" s="84"/>
      <c r="P21" s="83" t="s">
        <v>57</v>
      </c>
      <c r="Q21" s="84"/>
      <c r="R21" s="83" t="s">
        <v>58</v>
      </c>
      <c r="S21" s="84"/>
      <c r="T21" s="83" t="s">
        <v>56</v>
      </c>
      <c r="U21" s="84"/>
      <c r="V21" s="83" t="s">
        <v>57</v>
      </c>
      <c r="W21" s="84"/>
      <c r="X21" s="83" t="s">
        <v>58</v>
      </c>
      <c r="Y21" s="84"/>
      <c r="Z21" s="83" t="s">
        <v>56</v>
      </c>
      <c r="AA21" s="84"/>
      <c r="AB21" s="83" t="s">
        <v>57</v>
      </c>
      <c r="AC21" s="84"/>
      <c r="AD21" s="83" t="s">
        <v>58</v>
      </c>
      <c r="AE21" s="84"/>
      <c r="AF21" s="83" t="s">
        <v>56</v>
      </c>
      <c r="AG21" s="84"/>
      <c r="AH21" s="83" t="s">
        <v>57</v>
      </c>
      <c r="AI21" s="84"/>
      <c r="AJ21" s="83" t="s">
        <v>58</v>
      </c>
      <c r="AK21" s="84"/>
      <c r="AL21" s="83" t="s">
        <v>56</v>
      </c>
      <c r="AM21" s="84"/>
      <c r="AN21" s="90"/>
    </row>
    <row r="22" spans="2:40">
      <c r="B22" s="91"/>
      <c r="C22" s="91"/>
      <c r="D22" s="4" t="s">
        <v>59</v>
      </c>
      <c r="E22" s="4" t="s">
        <v>60</v>
      </c>
      <c r="F22" s="4" t="s">
        <v>59</v>
      </c>
      <c r="G22" s="4" t="s">
        <v>60</v>
      </c>
      <c r="H22" s="4" t="s">
        <v>59</v>
      </c>
      <c r="I22" s="4" t="s">
        <v>60</v>
      </c>
      <c r="J22" s="4" t="s">
        <v>59</v>
      </c>
      <c r="K22" s="4" t="s">
        <v>60</v>
      </c>
      <c r="L22" s="4" t="s">
        <v>59</v>
      </c>
      <c r="M22" s="4" t="s">
        <v>60</v>
      </c>
      <c r="N22" s="4" t="s">
        <v>59</v>
      </c>
      <c r="O22" s="4" t="s">
        <v>60</v>
      </c>
      <c r="P22" s="4" t="s">
        <v>59</v>
      </c>
      <c r="Q22" s="4" t="s">
        <v>60</v>
      </c>
      <c r="R22" s="4" t="s">
        <v>59</v>
      </c>
      <c r="S22" s="4" t="s">
        <v>60</v>
      </c>
      <c r="T22" s="4" t="s">
        <v>59</v>
      </c>
      <c r="U22" s="4" t="s">
        <v>60</v>
      </c>
      <c r="V22" s="4" t="s">
        <v>59</v>
      </c>
      <c r="W22" s="4" t="s">
        <v>60</v>
      </c>
      <c r="X22" s="4" t="s">
        <v>59</v>
      </c>
      <c r="Y22" s="4" t="s">
        <v>60</v>
      </c>
      <c r="Z22" s="4" t="s">
        <v>59</v>
      </c>
      <c r="AA22" s="4" t="s">
        <v>60</v>
      </c>
      <c r="AB22" s="4" t="s">
        <v>59</v>
      </c>
      <c r="AC22" s="4" t="s">
        <v>60</v>
      </c>
      <c r="AD22" s="4" t="s">
        <v>59</v>
      </c>
      <c r="AE22" s="4" t="s">
        <v>60</v>
      </c>
      <c r="AF22" s="4" t="s">
        <v>59</v>
      </c>
      <c r="AG22" s="4" t="s">
        <v>60</v>
      </c>
      <c r="AH22" s="4" t="s">
        <v>59</v>
      </c>
      <c r="AI22" s="4" t="s">
        <v>60</v>
      </c>
      <c r="AJ22" s="4" t="s">
        <v>59</v>
      </c>
      <c r="AK22" s="4" t="s">
        <v>60</v>
      </c>
      <c r="AL22" s="4" t="s">
        <v>59</v>
      </c>
      <c r="AM22" s="4" t="s">
        <v>60</v>
      </c>
      <c r="AN22" s="91"/>
    </row>
    <row r="23" spans="2:40">
      <c r="B23" s="5">
        <v>1</v>
      </c>
      <c r="C23" s="6" t="s">
        <v>61</v>
      </c>
      <c r="D23" s="7">
        <v>1252</v>
      </c>
      <c r="E23" s="5">
        <v>51.8</v>
      </c>
      <c r="F23" s="7">
        <v>1165</v>
      </c>
      <c r="G23" s="5">
        <v>48.2</v>
      </c>
      <c r="H23" s="7">
        <v>2417</v>
      </c>
      <c r="I23" s="5">
        <v>10.88</v>
      </c>
      <c r="J23" s="7">
        <v>2185</v>
      </c>
      <c r="K23" s="5">
        <v>52.5</v>
      </c>
      <c r="L23" s="7">
        <v>1977</v>
      </c>
      <c r="M23" s="5">
        <v>47.5</v>
      </c>
      <c r="N23" s="7">
        <v>4162</v>
      </c>
      <c r="O23" s="5">
        <v>18.739999999999998</v>
      </c>
      <c r="P23" s="7">
        <v>4082</v>
      </c>
      <c r="Q23" s="5">
        <v>51.22</v>
      </c>
      <c r="R23" s="7">
        <v>3887</v>
      </c>
      <c r="S23" s="5">
        <v>48.78</v>
      </c>
      <c r="T23" s="7">
        <v>7969</v>
      </c>
      <c r="U23" s="5">
        <v>35.880000000000003</v>
      </c>
      <c r="V23" s="7">
        <v>2844</v>
      </c>
      <c r="W23" s="5">
        <v>50.22</v>
      </c>
      <c r="X23" s="7">
        <v>2819</v>
      </c>
      <c r="Y23" s="5">
        <v>49.78</v>
      </c>
      <c r="Z23" s="7">
        <v>5663</v>
      </c>
      <c r="AA23" s="5">
        <v>25.49</v>
      </c>
      <c r="AB23" s="5">
        <v>997</v>
      </c>
      <c r="AC23" s="5">
        <v>49.8</v>
      </c>
      <c r="AD23" s="7">
        <v>1005</v>
      </c>
      <c r="AE23" s="5">
        <v>50.2</v>
      </c>
      <c r="AF23" s="7">
        <v>2002</v>
      </c>
      <c r="AG23" s="5">
        <v>9.01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7">
        <v>22213</v>
      </c>
    </row>
    <row r="24" spans="2:40">
      <c r="B24" s="5">
        <v>2</v>
      </c>
      <c r="C24" s="6" t="s">
        <v>62</v>
      </c>
      <c r="D24" s="5">
        <v>381</v>
      </c>
      <c r="E24" s="5">
        <v>54.04</v>
      </c>
      <c r="F24" s="5">
        <v>324</v>
      </c>
      <c r="G24" s="5">
        <v>45.96</v>
      </c>
      <c r="H24" s="5">
        <v>705</v>
      </c>
      <c r="I24" s="5">
        <v>4.91</v>
      </c>
      <c r="J24" s="5">
        <v>681</v>
      </c>
      <c r="K24" s="5">
        <v>50.78</v>
      </c>
      <c r="L24" s="5">
        <v>660</v>
      </c>
      <c r="M24" s="5">
        <v>49.22</v>
      </c>
      <c r="N24" s="7">
        <v>1341</v>
      </c>
      <c r="O24" s="5">
        <v>9.34</v>
      </c>
      <c r="P24" s="7">
        <v>1997</v>
      </c>
      <c r="Q24" s="5">
        <v>53.07</v>
      </c>
      <c r="R24" s="7">
        <v>1766</v>
      </c>
      <c r="S24" s="5">
        <v>46.93</v>
      </c>
      <c r="T24" s="7">
        <v>3763</v>
      </c>
      <c r="U24" s="5">
        <v>26.22</v>
      </c>
      <c r="V24" s="7">
        <v>2626</v>
      </c>
      <c r="W24" s="5">
        <v>52.06</v>
      </c>
      <c r="X24" s="7">
        <v>2418</v>
      </c>
      <c r="Y24" s="5">
        <v>47.94</v>
      </c>
      <c r="Z24" s="7">
        <v>5044</v>
      </c>
      <c r="AA24" s="5">
        <v>35.15</v>
      </c>
      <c r="AB24" s="7">
        <v>1727</v>
      </c>
      <c r="AC24" s="5">
        <v>49.39</v>
      </c>
      <c r="AD24" s="7">
        <v>1770</v>
      </c>
      <c r="AE24" s="5">
        <v>50.61</v>
      </c>
      <c r="AF24" s="7">
        <v>3497</v>
      </c>
      <c r="AG24" s="5">
        <v>24.37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7">
        <v>14350</v>
      </c>
    </row>
    <row r="25" spans="2:40">
      <c r="B25" s="5">
        <v>3</v>
      </c>
      <c r="C25" s="6" t="s">
        <v>63</v>
      </c>
      <c r="D25" s="5">
        <v>269</v>
      </c>
      <c r="E25" s="5">
        <v>52.44</v>
      </c>
      <c r="F25" s="5">
        <v>244</v>
      </c>
      <c r="G25" s="5">
        <v>47.56</v>
      </c>
      <c r="H25" s="5">
        <v>513</v>
      </c>
      <c r="I25" s="5">
        <v>5.75</v>
      </c>
      <c r="J25" s="5">
        <v>552</v>
      </c>
      <c r="K25" s="5">
        <v>51.21</v>
      </c>
      <c r="L25" s="5">
        <v>526</v>
      </c>
      <c r="M25" s="5">
        <v>48.79</v>
      </c>
      <c r="N25" s="7">
        <v>1078</v>
      </c>
      <c r="O25" s="5">
        <v>12.09</v>
      </c>
      <c r="P25" s="7">
        <v>1481</v>
      </c>
      <c r="Q25" s="5">
        <v>48.59</v>
      </c>
      <c r="R25" s="7">
        <v>1567</v>
      </c>
      <c r="S25" s="5">
        <v>51.41</v>
      </c>
      <c r="T25" s="7">
        <v>3048</v>
      </c>
      <c r="U25" s="5">
        <v>34.18</v>
      </c>
      <c r="V25" s="7">
        <v>1456</v>
      </c>
      <c r="W25" s="5">
        <v>48.86</v>
      </c>
      <c r="X25" s="7">
        <v>1524</v>
      </c>
      <c r="Y25" s="5">
        <v>51.14</v>
      </c>
      <c r="Z25" s="7">
        <v>2980</v>
      </c>
      <c r="AA25" s="5">
        <v>33.42</v>
      </c>
      <c r="AB25" s="5">
        <v>574</v>
      </c>
      <c r="AC25" s="5">
        <v>44.19</v>
      </c>
      <c r="AD25" s="5">
        <v>725</v>
      </c>
      <c r="AE25" s="5">
        <v>55.81</v>
      </c>
      <c r="AF25" s="7">
        <v>1299</v>
      </c>
      <c r="AG25" s="5">
        <v>14.57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7">
        <v>8918</v>
      </c>
    </row>
    <row r="26" spans="2:40">
      <c r="B26" s="5">
        <v>4</v>
      </c>
      <c r="C26" s="6" t="s">
        <v>64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1</v>
      </c>
      <c r="K26" s="5">
        <v>100</v>
      </c>
      <c r="L26" s="5">
        <v>0</v>
      </c>
      <c r="M26" s="5">
        <v>0</v>
      </c>
      <c r="N26" s="5">
        <v>1</v>
      </c>
      <c r="O26" s="5">
        <v>16.670000000000002</v>
      </c>
      <c r="P26" s="5">
        <v>2</v>
      </c>
      <c r="Q26" s="5">
        <v>66.67</v>
      </c>
      <c r="R26" s="5">
        <v>1</v>
      </c>
      <c r="S26" s="5">
        <v>33.33</v>
      </c>
      <c r="T26" s="5">
        <v>3</v>
      </c>
      <c r="U26" s="5">
        <v>50</v>
      </c>
      <c r="V26" s="5">
        <v>0</v>
      </c>
      <c r="W26" s="5">
        <v>0</v>
      </c>
      <c r="X26" s="5">
        <v>1</v>
      </c>
      <c r="Y26" s="5">
        <v>100</v>
      </c>
      <c r="Z26" s="5">
        <v>1</v>
      </c>
      <c r="AA26" s="5">
        <v>16.670000000000002</v>
      </c>
      <c r="AB26" s="5">
        <v>0</v>
      </c>
      <c r="AC26" s="5">
        <v>0</v>
      </c>
      <c r="AD26" s="5">
        <v>1</v>
      </c>
      <c r="AE26" s="5">
        <v>100</v>
      </c>
      <c r="AF26" s="5">
        <v>1</v>
      </c>
      <c r="AG26" s="5">
        <v>16.670000000000002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6</v>
      </c>
    </row>
    <row r="27" spans="2:40">
      <c r="B27" s="85" t="s">
        <v>56</v>
      </c>
      <c r="C27" s="86"/>
      <c r="D27" s="9">
        <v>1902</v>
      </c>
      <c r="E27" s="8">
        <v>52.32</v>
      </c>
      <c r="F27" s="9">
        <v>1733</v>
      </c>
      <c r="G27" s="8">
        <v>47.68</v>
      </c>
      <c r="H27" s="9">
        <v>3635</v>
      </c>
      <c r="I27" s="8">
        <v>7.99</v>
      </c>
      <c r="J27" s="9">
        <v>3419</v>
      </c>
      <c r="K27" s="8">
        <v>51.94</v>
      </c>
      <c r="L27" s="9">
        <v>3163</v>
      </c>
      <c r="M27" s="8">
        <v>48.06</v>
      </c>
      <c r="N27" s="9">
        <v>6582</v>
      </c>
      <c r="O27" s="8">
        <v>14.47</v>
      </c>
      <c r="P27" s="9">
        <v>7562</v>
      </c>
      <c r="Q27" s="8">
        <v>51.15</v>
      </c>
      <c r="R27" s="9">
        <v>7221</v>
      </c>
      <c r="S27" s="8">
        <v>48.85</v>
      </c>
      <c r="T27" s="9">
        <v>14783</v>
      </c>
      <c r="U27" s="8">
        <v>32.5</v>
      </c>
      <c r="V27" s="9">
        <v>6926</v>
      </c>
      <c r="W27" s="8">
        <v>50.6</v>
      </c>
      <c r="X27" s="9">
        <v>6762</v>
      </c>
      <c r="Y27" s="8">
        <v>49.4</v>
      </c>
      <c r="Z27" s="9">
        <v>13688</v>
      </c>
      <c r="AA27" s="8">
        <v>30.09</v>
      </c>
      <c r="AB27" s="9">
        <v>3298</v>
      </c>
      <c r="AC27" s="8">
        <v>48.51</v>
      </c>
      <c r="AD27" s="9">
        <v>3501</v>
      </c>
      <c r="AE27" s="8">
        <v>51.49</v>
      </c>
      <c r="AF27" s="9">
        <v>6799</v>
      </c>
      <c r="AG27" s="8">
        <v>14.95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9">
        <v>45487</v>
      </c>
    </row>
    <row r="28" spans="2:40"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</row>
    <row r="29" spans="2:40"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</row>
    <row r="30" spans="2:40">
      <c r="B30" s="1" t="s">
        <v>41</v>
      </c>
      <c r="C30" s="1" t="s">
        <v>42</v>
      </c>
      <c r="D30" s="2" t="s">
        <v>43</v>
      </c>
    </row>
    <row r="31" spans="2:40">
      <c r="B31" s="1" t="s">
        <v>44</v>
      </c>
      <c r="C31" s="1" t="s">
        <v>42</v>
      </c>
      <c r="D31" s="2" t="s">
        <v>73</v>
      </c>
    </row>
    <row r="32" spans="2:40">
      <c r="B32" s="1" t="s">
        <v>1</v>
      </c>
      <c r="C32" s="1" t="s">
        <v>42</v>
      </c>
      <c r="D32" s="2" t="s">
        <v>76</v>
      </c>
    </row>
    <row r="33" spans="2:40">
      <c r="B33" s="1" t="s">
        <v>47</v>
      </c>
      <c r="C33" s="1" t="s">
        <v>42</v>
      </c>
      <c r="D33" s="3">
        <v>46184</v>
      </c>
    </row>
    <row r="34" spans="2:40">
      <c r="B34" s="89" t="s">
        <v>48</v>
      </c>
      <c r="C34" s="89" t="s">
        <v>49</v>
      </c>
      <c r="D34" s="83" t="s">
        <v>50</v>
      </c>
      <c r="E34" s="88"/>
      <c r="F34" s="88"/>
      <c r="G34" s="88"/>
      <c r="H34" s="88"/>
      <c r="I34" s="84"/>
      <c r="J34" s="83" t="s">
        <v>51</v>
      </c>
      <c r="K34" s="88"/>
      <c r="L34" s="88"/>
      <c r="M34" s="88"/>
      <c r="N34" s="88"/>
      <c r="O34" s="84"/>
      <c r="P34" s="83" t="s">
        <v>52</v>
      </c>
      <c r="Q34" s="88"/>
      <c r="R34" s="88"/>
      <c r="S34" s="88"/>
      <c r="T34" s="88"/>
      <c r="U34" s="84"/>
      <c r="V34" s="83" t="s">
        <v>53</v>
      </c>
      <c r="W34" s="88"/>
      <c r="X34" s="88"/>
      <c r="Y34" s="88"/>
      <c r="Z34" s="88"/>
      <c r="AA34" s="84"/>
      <c r="AB34" s="83" t="s">
        <v>54</v>
      </c>
      <c r="AC34" s="88"/>
      <c r="AD34" s="88"/>
      <c r="AE34" s="88"/>
      <c r="AF34" s="88"/>
      <c r="AG34" s="84"/>
      <c r="AH34" s="83" t="s">
        <v>55</v>
      </c>
      <c r="AI34" s="88"/>
      <c r="AJ34" s="88"/>
      <c r="AK34" s="88"/>
      <c r="AL34" s="88"/>
      <c r="AM34" s="84"/>
      <c r="AN34" s="89" t="s">
        <v>56</v>
      </c>
    </row>
    <row r="35" spans="2:40">
      <c r="B35" s="90"/>
      <c r="C35" s="90"/>
      <c r="D35" s="83" t="s">
        <v>57</v>
      </c>
      <c r="E35" s="84"/>
      <c r="F35" s="83" t="s">
        <v>58</v>
      </c>
      <c r="G35" s="84"/>
      <c r="H35" s="83" t="s">
        <v>56</v>
      </c>
      <c r="I35" s="84"/>
      <c r="J35" s="83" t="s">
        <v>57</v>
      </c>
      <c r="K35" s="84"/>
      <c r="L35" s="83" t="s">
        <v>58</v>
      </c>
      <c r="M35" s="84"/>
      <c r="N35" s="83" t="s">
        <v>56</v>
      </c>
      <c r="O35" s="84"/>
      <c r="P35" s="83" t="s">
        <v>57</v>
      </c>
      <c r="Q35" s="84"/>
      <c r="R35" s="83" t="s">
        <v>58</v>
      </c>
      <c r="S35" s="84"/>
      <c r="T35" s="83" t="s">
        <v>56</v>
      </c>
      <c r="U35" s="84"/>
      <c r="V35" s="83" t="s">
        <v>57</v>
      </c>
      <c r="W35" s="84"/>
      <c r="X35" s="83" t="s">
        <v>58</v>
      </c>
      <c r="Y35" s="84"/>
      <c r="Z35" s="83" t="s">
        <v>56</v>
      </c>
      <c r="AA35" s="84"/>
      <c r="AB35" s="83" t="s">
        <v>57</v>
      </c>
      <c r="AC35" s="84"/>
      <c r="AD35" s="83" t="s">
        <v>58</v>
      </c>
      <c r="AE35" s="84"/>
      <c r="AF35" s="83" t="s">
        <v>56</v>
      </c>
      <c r="AG35" s="84"/>
      <c r="AH35" s="83" t="s">
        <v>57</v>
      </c>
      <c r="AI35" s="84"/>
      <c r="AJ35" s="83" t="s">
        <v>58</v>
      </c>
      <c r="AK35" s="84"/>
      <c r="AL35" s="83" t="s">
        <v>56</v>
      </c>
      <c r="AM35" s="84"/>
      <c r="AN35" s="90"/>
    </row>
    <row r="36" spans="2:40">
      <c r="B36" s="91"/>
      <c r="C36" s="91"/>
      <c r="D36" s="4" t="s">
        <v>59</v>
      </c>
      <c r="E36" s="4" t="s">
        <v>60</v>
      </c>
      <c r="F36" s="4" t="s">
        <v>59</v>
      </c>
      <c r="G36" s="4" t="s">
        <v>60</v>
      </c>
      <c r="H36" s="4" t="s">
        <v>59</v>
      </c>
      <c r="I36" s="4" t="s">
        <v>60</v>
      </c>
      <c r="J36" s="4" t="s">
        <v>59</v>
      </c>
      <c r="K36" s="4" t="s">
        <v>60</v>
      </c>
      <c r="L36" s="4" t="s">
        <v>59</v>
      </c>
      <c r="M36" s="4" t="s">
        <v>60</v>
      </c>
      <c r="N36" s="4" t="s">
        <v>59</v>
      </c>
      <c r="O36" s="4" t="s">
        <v>60</v>
      </c>
      <c r="P36" s="4" t="s">
        <v>59</v>
      </c>
      <c r="Q36" s="4" t="s">
        <v>60</v>
      </c>
      <c r="R36" s="4" t="s">
        <v>59</v>
      </c>
      <c r="S36" s="4" t="s">
        <v>60</v>
      </c>
      <c r="T36" s="4" t="s">
        <v>59</v>
      </c>
      <c r="U36" s="4" t="s">
        <v>60</v>
      </c>
      <c r="V36" s="4" t="s">
        <v>59</v>
      </c>
      <c r="W36" s="4" t="s">
        <v>60</v>
      </c>
      <c r="X36" s="4" t="s">
        <v>59</v>
      </c>
      <c r="Y36" s="4" t="s">
        <v>60</v>
      </c>
      <c r="Z36" s="4" t="s">
        <v>59</v>
      </c>
      <c r="AA36" s="4" t="s">
        <v>60</v>
      </c>
      <c r="AB36" s="4" t="s">
        <v>59</v>
      </c>
      <c r="AC36" s="4" t="s">
        <v>60</v>
      </c>
      <c r="AD36" s="4" t="s">
        <v>59</v>
      </c>
      <c r="AE36" s="4" t="s">
        <v>60</v>
      </c>
      <c r="AF36" s="4" t="s">
        <v>59</v>
      </c>
      <c r="AG36" s="4" t="s">
        <v>60</v>
      </c>
      <c r="AH36" s="4" t="s">
        <v>59</v>
      </c>
      <c r="AI36" s="4" t="s">
        <v>60</v>
      </c>
      <c r="AJ36" s="4" t="s">
        <v>59</v>
      </c>
      <c r="AK36" s="4" t="s">
        <v>60</v>
      </c>
      <c r="AL36" s="4" t="s">
        <v>59</v>
      </c>
      <c r="AM36" s="4" t="s">
        <v>60</v>
      </c>
      <c r="AN36" s="91"/>
    </row>
    <row r="37" spans="2:40">
      <c r="B37" s="5">
        <v>1</v>
      </c>
      <c r="C37" s="6" t="s">
        <v>61</v>
      </c>
      <c r="D37" s="5">
        <v>37</v>
      </c>
      <c r="E37" s="5">
        <v>49.33</v>
      </c>
      <c r="F37" s="5">
        <v>38</v>
      </c>
      <c r="G37" s="5">
        <v>50.67</v>
      </c>
      <c r="H37" s="5">
        <v>75</v>
      </c>
      <c r="I37" s="5">
        <v>4.82</v>
      </c>
      <c r="J37" s="5">
        <v>72</v>
      </c>
      <c r="K37" s="5">
        <v>43.64</v>
      </c>
      <c r="L37" s="5">
        <v>93</v>
      </c>
      <c r="M37" s="5">
        <v>56.36</v>
      </c>
      <c r="N37" s="5">
        <v>165</v>
      </c>
      <c r="O37" s="5">
        <v>10.61</v>
      </c>
      <c r="P37" s="5">
        <v>251</v>
      </c>
      <c r="Q37" s="5">
        <v>46.4</v>
      </c>
      <c r="R37" s="5">
        <v>290</v>
      </c>
      <c r="S37" s="5">
        <v>53.6</v>
      </c>
      <c r="T37" s="5">
        <v>541</v>
      </c>
      <c r="U37" s="5">
        <v>34.79</v>
      </c>
      <c r="V37" s="5">
        <v>258</v>
      </c>
      <c r="W37" s="5">
        <v>48.22</v>
      </c>
      <c r="X37" s="5">
        <v>277</v>
      </c>
      <c r="Y37" s="5">
        <v>51.78</v>
      </c>
      <c r="Z37" s="5">
        <v>535</v>
      </c>
      <c r="AA37" s="5">
        <v>34.409999999999997</v>
      </c>
      <c r="AB37" s="5">
        <v>107</v>
      </c>
      <c r="AC37" s="5">
        <v>44.77</v>
      </c>
      <c r="AD37" s="5">
        <v>132</v>
      </c>
      <c r="AE37" s="5">
        <v>55.23</v>
      </c>
      <c r="AF37" s="5">
        <v>239</v>
      </c>
      <c r="AG37" s="5">
        <v>15.37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7">
        <v>1555</v>
      </c>
    </row>
    <row r="38" spans="2:40">
      <c r="B38" s="5">
        <v>2</v>
      </c>
      <c r="C38" s="6" t="s">
        <v>62</v>
      </c>
      <c r="D38" s="5">
        <v>223</v>
      </c>
      <c r="E38" s="5">
        <v>51.03</v>
      </c>
      <c r="F38" s="5">
        <v>214</v>
      </c>
      <c r="G38" s="5">
        <v>48.97</v>
      </c>
      <c r="H38" s="5">
        <v>437</v>
      </c>
      <c r="I38" s="5">
        <v>2.6</v>
      </c>
      <c r="J38" s="5">
        <v>482</v>
      </c>
      <c r="K38" s="5">
        <v>50.42</v>
      </c>
      <c r="L38" s="5">
        <v>474</v>
      </c>
      <c r="M38" s="5">
        <v>49.58</v>
      </c>
      <c r="N38" s="5">
        <v>956</v>
      </c>
      <c r="O38" s="5">
        <v>5.69</v>
      </c>
      <c r="P38" s="7">
        <v>1964</v>
      </c>
      <c r="Q38" s="5">
        <v>51.39</v>
      </c>
      <c r="R38" s="7">
        <v>1858</v>
      </c>
      <c r="S38" s="5">
        <v>48.61</v>
      </c>
      <c r="T38" s="7">
        <v>3822</v>
      </c>
      <c r="U38" s="5">
        <v>22.76</v>
      </c>
      <c r="V38" s="7">
        <v>2991</v>
      </c>
      <c r="W38" s="5">
        <v>51.4</v>
      </c>
      <c r="X38" s="7">
        <v>2828</v>
      </c>
      <c r="Y38" s="5">
        <v>48.6</v>
      </c>
      <c r="Z38" s="7">
        <v>5819</v>
      </c>
      <c r="AA38" s="5">
        <v>34.65</v>
      </c>
      <c r="AB38" s="7">
        <v>2524</v>
      </c>
      <c r="AC38" s="5">
        <v>43.83</v>
      </c>
      <c r="AD38" s="7">
        <v>3235</v>
      </c>
      <c r="AE38" s="5">
        <v>56.17</v>
      </c>
      <c r="AF38" s="7">
        <v>5759</v>
      </c>
      <c r="AG38" s="5">
        <v>34.29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7">
        <v>16793</v>
      </c>
    </row>
    <row r="39" spans="2:40">
      <c r="B39" s="5">
        <v>3</v>
      </c>
      <c r="C39" s="6" t="s">
        <v>63</v>
      </c>
      <c r="D39" s="5">
        <v>94</v>
      </c>
      <c r="E39" s="5">
        <v>49.21</v>
      </c>
      <c r="F39" s="5">
        <v>97</v>
      </c>
      <c r="G39" s="5">
        <v>50.79</v>
      </c>
      <c r="H39" s="5">
        <v>191</v>
      </c>
      <c r="I39" s="5">
        <v>3.99</v>
      </c>
      <c r="J39" s="5">
        <v>177</v>
      </c>
      <c r="K39" s="5">
        <v>47.71</v>
      </c>
      <c r="L39" s="5">
        <v>194</v>
      </c>
      <c r="M39" s="5">
        <v>52.29</v>
      </c>
      <c r="N39" s="5">
        <v>371</v>
      </c>
      <c r="O39" s="5">
        <v>7.75</v>
      </c>
      <c r="P39" s="5">
        <v>719</v>
      </c>
      <c r="Q39" s="5">
        <v>50.24</v>
      </c>
      <c r="R39" s="5">
        <v>712</v>
      </c>
      <c r="S39" s="5">
        <v>49.76</v>
      </c>
      <c r="T39" s="7">
        <v>1431</v>
      </c>
      <c r="U39" s="5">
        <v>29.88</v>
      </c>
      <c r="V39" s="5">
        <v>766</v>
      </c>
      <c r="W39" s="5">
        <v>44.69</v>
      </c>
      <c r="X39" s="5">
        <v>948</v>
      </c>
      <c r="Y39" s="5">
        <v>55.31</v>
      </c>
      <c r="Z39" s="7">
        <v>1714</v>
      </c>
      <c r="AA39" s="5">
        <v>35.79</v>
      </c>
      <c r="AB39" s="5">
        <v>431</v>
      </c>
      <c r="AC39" s="5">
        <v>39.83</v>
      </c>
      <c r="AD39" s="5">
        <v>651</v>
      </c>
      <c r="AE39" s="5">
        <v>60.17</v>
      </c>
      <c r="AF39" s="7">
        <v>1082</v>
      </c>
      <c r="AG39" s="5">
        <v>22.59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7">
        <v>4789</v>
      </c>
    </row>
    <row r="40" spans="2:40">
      <c r="B40" s="5">
        <v>4</v>
      </c>
      <c r="C40" s="6" t="s">
        <v>64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</v>
      </c>
      <c r="Q40" s="5">
        <v>100</v>
      </c>
      <c r="R40" s="5">
        <v>0</v>
      </c>
      <c r="S40" s="5">
        <v>0</v>
      </c>
      <c r="T40" s="5">
        <v>3</v>
      </c>
      <c r="U40" s="5">
        <v>75</v>
      </c>
      <c r="V40" s="5">
        <v>0</v>
      </c>
      <c r="W40" s="5">
        <v>0</v>
      </c>
      <c r="X40" s="5">
        <v>1</v>
      </c>
      <c r="Y40" s="5">
        <v>100</v>
      </c>
      <c r="Z40" s="5">
        <v>1</v>
      </c>
      <c r="AA40" s="5">
        <v>25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4</v>
      </c>
    </row>
    <row r="41" spans="2:40">
      <c r="B41" s="85" t="s">
        <v>56</v>
      </c>
      <c r="C41" s="86"/>
      <c r="D41" s="8">
        <v>354</v>
      </c>
      <c r="E41" s="8">
        <v>50.36</v>
      </c>
      <c r="F41" s="8">
        <v>349</v>
      </c>
      <c r="G41" s="8">
        <v>49.64</v>
      </c>
      <c r="H41" s="8">
        <v>703</v>
      </c>
      <c r="I41" s="8">
        <v>3.04</v>
      </c>
      <c r="J41" s="8">
        <v>731</v>
      </c>
      <c r="K41" s="8">
        <v>48.99</v>
      </c>
      <c r="L41" s="8">
        <v>761</v>
      </c>
      <c r="M41" s="8">
        <v>51.01</v>
      </c>
      <c r="N41" s="9">
        <v>1492</v>
      </c>
      <c r="O41" s="8">
        <v>6.45</v>
      </c>
      <c r="P41" s="9">
        <v>2937</v>
      </c>
      <c r="Q41" s="8">
        <v>50.66</v>
      </c>
      <c r="R41" s="9">
        <v>2860</v>
      </c>
      <c r="S41" s="8">
        <v>49.34</v>
      </c>
      <c r="T41" s="9">
        <v>5797</v>
      </c>
      <c r="U41" s="8">
        <v>25.05</v>
      </c>
      <c r="V41" s="9">
        <v>4015</v>
      </c>
      <c r="W41" s="8">
        <v>49.76</v>
      </c>
      <c r="X41" s="9">
        <v>4054</v>
      </c>
      <c r="Y41" s="8">
        <v>50.24</v>
      </c>
      <c r="Z41" s="9">
        <v>8069</v>
      </c>
      <c r="AA41" s="8">
        <v>34.869999999999997</v>
      </c>
      <c r="AB41" s="9">
        <v>3062</v>
      </c>
      <c r="AC41" s="8">
        <v>43.25</v>
      </c>
      <c r="AD41" s="9">
        <v>4018</v>
      </c>
      <c r="AE41" s="8">
        <v>56.75</v>
      </c>
      <c r="AF41" s="9">
        <v>7080</v>
      </c>
      <c r="AG41" s="8">
        <v>30.6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9">
        <v>23141</v>
      </c>
    </row>
    <row r="42" spans="2:40"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  <c r="AM42" s="82"/>
      <c r="AN42" s="82"/>
    </row>
    <row r="43" spans="2:40"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</row>
    <row r="44" spans="2:40">
      <c r="B44" s="1" t="s">
        <v>41</v>
      </c>
      <c r="C44" s="1" t="s">
        <v>42</v>
      </c>
      <c r="D44" s="2" t="s">
        <v>43</v>
      </c>
    </row>
    <row r="45" spans="2:40">
      <c r="B45" s="1" t="s">
        <v>44</v>
      </c>
      <c r="C45" s="1" t="s">
        <v>42</v>
      </c>
      <c r="D45" s="2" t="s">
        <v>73</v>
      </c>
    </row>
    <row r="46" spans="2:40">
      <c r="B46" s="1" t="s">
        <v>1</v>
      </c>
      <c r="C46" s="1" t="s">
        <v>42</v>
      </c>
      <c r="D46" s="2" t="s">
        <v>77</v>
      </c>
    </row>
    <row r="47" spans="2:40">
      <c r="B47" s="1" t="s">
        <v>47</v>
      </c>
      <c r="C47" s="1" t="s">
        <v>42</v>
      </c>
      <c r="D47" s="3">
        <v>46184</v>
      </c>
    </row>
    <row r="48" spans="2:40">
      <c r="B48" s="89" t="s">
        <v>48</v>
      </c>
      <c r="C48" s="89" t="s">
        <v>49</v>
      </c>
      <c r="D48" s="83" t="s">
        <v>50</v>
      </c>
      <c r="E48" s="88"/>
      <c r="F48" s="88"/>
      <c r="G48" s="88"/>
      <c r="H48" s="88"/>
      <c r="I48" s="84"/>
      <c r="J48" s="83" t="s">
        <v>51</v>
      </c>
      <c r="K48" s="88"/>
      <c r="L48" s="88"/>
      <c r="M48" s="88"/>
      <c r="N48" s="88"/>
      <c r="O48" s="84"/>
      <c r="P48" s="83" t="s">
        <v>52</v>
      </c>
      <c r="Q48" s="88"/>
      <c r="R48" s="88"/>
      <c r="S48" s="88"/>
      <c r="T48" s="88"/>
      <c r="U48" s="84"/>
      <c r="V48" s="83" t="s">
        <v>53</v>
      </c>
      <c r="W48" s="88"/>
      <c r="X48" s="88"/>
      <c r="Y48" s="88"/>
      <c r="Z48" s="88"/>
      <c r="AA48" s="84"/>
      <c r="AB48" s="83" t="s">
        <v>54</v>
      </c>
      <c r="AC48" s="88"/>
      <c r="AD48" s="88"/>
      <c r="AE48" s="88"/>
      <c r="AF48" s="88"/>
      <c r="AG48" s="84"/>
      <c r="AH48" s="83" t="s">
        <v>55</v>
      </c>
      <c r="AI48" s="88"/>
      <c r="AJ48" s="88"/>
      <c r="AK48" s="88"/>
      <c r="AL48" s="88"/>
      <c r="AM48" s="84"/>
      <c r="AN48" s="89" t="s">
        <v>56</v>
      </c>
    </row>
    <row r="49" spans="2:40">
      <c r="B49" s="90"/>
      <c r="C49" s="90"/>
      <c r="D49" s="83" t="s">
        <v>57</v>
      </c>
      <c r="E49" s="84"/>
      <c r="F49" s="83" t="s">
        <v>58</v>
      </c>
      <c r="G49" s="84"/>
      <c r="H49" s="83" t="s">
        <v>56</v>
      </c>
      <c r="I49" s="84"/>
      <c r="J49" s="83" t="s">
        <v>57</v>
      </c>
      <c r="K49" s="84"/>
      <c r="L49" s="83" t="s">
        <v>58</v>
      </c>
      <c r="M49" s="84"/>
      <c r="N49" s="83" t="s">
        <v>56</v>
      </c>
      <c r="O49" s="84"/>
      <c r="P49" s="83" t="s">
        <v>57</v>
      </c>
      <c r="Q49" s="84"/>
      <c r="R49" s="83" t="s">
        <v>58</v>
      </c>
      <c r="S49" s="84"/>
      <c r="T49" s="83" t="s">
        <v>56</v>
      </c>
      <c r="U49" s="84"/>
      <c r="V49" s="83" t="s">
        <v>57</v>
      </c>
      <c r="W49" s="84"/>
      <c r="X49" s="83" t="s">
        <v>58</v>
      </c>
      <c r="Y49" s="84"/>
      <c r="Z49" s="83" t="s">
        <v>56</v>
      </c>
      <c r="AA49" s="84"/>
      <c r="AB49" s="83" t="s">
        <v>57</v>
      </c>
      <c r="AC49" s="84"/>
      <c r="AD49" s="83" t="s">
        <v>58</v>
      </c>
      <c r="AE49" s="84"/>
      <c r="AF49" s="83" t="s">
        <v>56</v>
      </c>
      <c r="AG49" s="84"/>
      <c r="AH49" s="83" t="s">
        <v>57</v>
      </c>
      <c r="AI49" s="84"/>
      <c r="AJ49" s="83" t="s">
        <v>58</v>
      </c>
      <c r="AK49" s="84"/>
      <c r="AL49" s="83" t="s">
        <v>56</v>
      </c>
      <c r="AM49" s="84"/>
      <c r="AN49" s="90"/>
    </row>
    <row r="50" spans="2:40">
      <c r="B50" s="91"/>
      <c r="C50" s="91"/>
      <c r="D50" s="4" t="s">
        <v>59</v>
      </c>
      <c r="E50" s="4" t="s">
        <v>60</v>
      </c>
      <c r="F50" s="4" t="s">
        <v>59</v>
      </c>
      <c r="G50" s="4" t="s">
        <v>60</v>
      </c>
      <c r="H50" s="4" t="s">
        <v>59</v>
      </c>
      <c r="I50" s="4" t="s">
        <v>60</v>
      </c>
      <c r="J50" s="4" t="s">
        <v>59</v>
      </c>
      <c r="K50" s="4" t="s">
        <v>60</v>
      </c>
      <c r="L50" s="4" t="s">
        <v>59</v>
      </c>
      <c r="M50" s="4" t="s">
        <v>60</v>
      </c>
      <c r="N50" s="4" t="s">
        <v>59</v>
      </c>
      <c r="O50" s="4" t="s">
        <v>60</v>
      </c>
      <c r="P50" s="4" t="s">
        <v>59</v>
      </c>
      <c r="Q50" s="4" t="s">
        <v>60</v>
      </c>
      <c r="R50" s="4" t="s">
        <v>59</v>
      </c>
      <c r="S50" s="4" t="s">
        <v>60</v>
      </c>
      <c r="T50" s="4" t="s">
        <v>59</v>
      </c>
      <c r="U50" s="4" t="s">
        <v>60</v>
      </c>
      <c r="V50" s="4" t="s">
        <v>59</v>
      </c>
      <c r="W50" s="4" t="s">
        <v>60</v>
      </c>
      <c r="X50" s="4" t="s">
        <v>59</v>
      </c>
      <c r="Y50" s="4" t="s">
        <v>60</v>
      </c>
      <c r="Z50" s="4" t="s">
        <v>59</v>
      </c>
      <c r="AA50" s="4" t="s">
        <v>60</v>
      </c>
      <c r="AB50" s="4" t="s">
        <v>59</v>
      </c>
      <c r="AC50" s="4" t="s">
        <v>60</v>
      </c>
      <c r="AD50" s="4" t="s">
        <v>59</v>
      </c>
      <c r="AE50" s="4" t="s">
        <v>60</v>
      </c>
      <c r="AF50" s="4" t="s">
        <v>59</v>
      </c>
      <c r="AG50" s="4" t="s">
        <v>60</v>
      </c>
      <c r="AH50" s="4" t="s">
        <v>59</v>
      </c>
      <c r="AI50" s="4" t="s">
        <v>60</v>
      </c>
      <c r="AJ50" s="4" t="s">
        <v>59</v>
      </c>
      <c r="AK50" s="4" t="s">
        <v>60</v>
      </c>
      <c r="AL50" s="4" t="s">
        <v>59</v>
      </c>
      <c r="AM50" s="4" t="s">
        <v>60</v>
      </c>
      <c r="AN50" s="91"/>
    </row>
    <row r="51" spans="2:40">
      <c r="B51" s="5">
        <v>1</v>
      </c>
      <c r="C51" s="6" t="s">
        <v>61</v>
      </c>
      <c r="D51" s="5">
        <v>145</v>
      </c>
      <c r="E51" s="5">
        <v>54.51</v>
      </c>
      <c r="F51" s="5">
        <v>121</v>
      </c>
      <c r="G51" s="5">
        <v>45.49</v>
      </c>
      <c r="H51" s="5">
        <v>266</v>
      </c>
      <c r="I51" s="5">
        <v>4.8600000000000003</v>
      </c>
      <c r="J51" s="5">
        <v>249</v>
      </c>
      <c r="K51" s="5">
        <v>55.33</v>
      </c>
      <c r="L51" s="5">
        <v>201</v>
      </c>
      <c r="M51" s="5">
        <v>44.67</v>
      </c>
      <c r="N51" s="5">
        <v>450</v>
      </c>
      <c r="O51" s="5">
        <v>8.2200000000000006</v>
      </c>
      <c r="P51" s="7">
        <v>1314</v>
      </c>
      <c r="Q51" s="5">
        <v>63.29</v>
      </c>
      <c r="R51" s="5">
        <v>762</v>
      </c>
      <c r="S51" s="5">
        <v>36.71</v>
      </c>
      <c r="T51" s="7">
        <v>2076</v>
      </c>
      <c r="U51" s="5">
        <v>37.93</v>
      </c>
      <c r="V51" s="5">
        <v>985</v>
      </c>
      <c r="W51" s="5">
        <v>55.87</v>
      </c>
      <c r="X51" s="5">
        <v>778</v>
      </c>
      <c r="Y51" s="5">
        <v>44.13</v>
      </c>
      <c r="Z51" s="7">
        <v>1763</v>
      </c>
      <c r="AA51" s="5">
        <v>32.21</v>
      </c>
      <c r="AB51" s="5">
        <v>443</v>
      </c>
      <c r="AC51" s="5">
        <v>48.26</v>
      </c>
      <c r="AD51" s="5">
        <v>475</v>
      </c>
      <c r="AE51" s="5">
        <v>51.74</v>
      </c>
      <c r="AF51" s="5">
        <v>918</v>
      </c>
      <c r="AG51" s="5">
        <v>16.77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7">
        <v>5473</v>
      </c>
    </row>
    <row r="52" spans="2:40">
      <c r="B52" s="5">
        <v>2</v>
      </c>
      <c r="C52" s="6" t="s">
        <v>62</v>
      </c>
      <c r="D52" s="5">
        <v>85</v>
      </c>
      <c r="E52" s="5">
        <v>60.71</v>
      </c>
      <c r="F52" s="5">
        <v>55</v>
      </c>
      <c r="G52" s="5">
        <v>39.29</v>
      </c>
      <c r="H52" s="5">
        <v>140</v>
      </c>
      <c r="I52" s="5">
        <v>2.41</v>
      </c>
      <c r="J52" s="5">
        <v>128</v>
      </c>
      <c r="K52" s="5">
        <v>47.94</v>
      </c>
      <c r="L52" s="5">
        <v>139</v>
      </c>
      <c r="M52" s="5">
        <v>52.06</v>
      </c>
      <c r="N52" s="5">
        <v>267</v>
      </c>
      <c r="O52" s="5">
        <v>4.5999999999999996</v>
      </c>
      <c r="P52" s="5">
        <v>554</v>
      </c>
      <c r="Q52" s="5">
        <v>55.46</v>
      </c>
      <c r="R52" s="5">
        <v>445</v>
      </c>
      <c r="S52" s="5">
        <v>44.54</v>
      </c>
      <c r="T52" s="5">
        <v>999</v>
      </c>
      <c r="U52" s="5">
        <v>17.22</v>
      </c>
      <c r="V52" s="5">
        <v>936</v>
      </c>
      <c r="W52" s="5">
        <v>50.98</v>
      </c>
      <c r="X52" s="5">
        <v>900</v>
      </c>
      <c r="Y52" s="5">
        <v>49.02</v>
      </c>
      <c r="Z52" s="7">
        <v>1836</v>
      </c>
      <c r="AA52" s="5">
        <v>31.66</v>
      </c>
      <c r="AB52" s="7">
        <v>1171</v>
      </c>
      <c r="AC52" s="5">
        <v>45.78</v>
      </c>
      <c r="AD52" s="7">
        <v>1387</v>
      </c>
      <c r="AE52" s="5">
        <v>54.22</v>
      </c>
      <c r="AF52" s="7">
        <v>2558</v>
      </c>
      <c r="AG52" s="5">
        <v>44.1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7">
        <v>5800</v>
      </c>
    </row>
    <row r="53" spans="2:40">
      <c r="B53" s="5">
        <v>3</v>
      </c>
      <c r="C53" s="6" t="s">
        <v>63</v>
      </c>
      <c r="D53" s="5">
        <v>24</v>
      </c>
      <c r="E53" s="5">
        <v>47.06</v>
      </c>
      <c r="F53" s="5">
        <v>27</v>
      </c>
      <c r="G53" s="5">
        <v>52.94</v>
      </c>
      <c r="H53" s="5">
        <v>51</v>
      </c>
      <c r="I53" s="5">
        <v>3.01</v>
      </c>
      <c r="J53" s="5">
        <v>41</v>
      </c>
      <c r="K53" s="5">
        <v>42.71</v>
      </c>
      <c r="L53" s="5">
        <v>55</v>
      </c>
      <c r="M53" s="5">
        <v>57.29</v>
      </c>
      <c r="N53" s="5">
        <v>96</v>
      </c>
      <c r="O53" s="5">
        <v>5.66</v>
      </c>
      <c r="P53" s="5">
        <v>217</v>
      </c>
      <c r="Q53" s="5">
        <v>45.3</v>
      </c>
      <c r="R53" s="5">
        <v>262</v>
      </c>
      <c r="S53" s="5">
        <v>54.7</v>
      </c>
      <c r="T53" s="5">
        <v>479</v>
      </c>
      <c r="U53" s="5">
        <v>28.26</v>
      </c>
      <c r="V53" s="5">
        <v>308</v>
      </c>
      <c r="W53" s="5">
        <v>49.68</v>
      </c>
      <c r="X53" s="5">
        <v>312</v>
      </c>
      <c r="Y53" s="5">
        <v>50.32</v>
      </c>
      <c r="Z53" s="5">
        <v>620</v>
      </c>
      <c r="AA53" s="5">
        <v>36.58</v>
      </c>
      <c r="AB53" s="5">
        <v>198</v>
      </c>
      <c r="AC53" s="5">
        <v>44.1</v>
      </c>
      <c r="AD53" s="5">
        <v>251</v>
      </c>
      <c r="AE53" s="5">
        <v>55.9</v>
      </c>
      <c r="AF53" s="5">
        <v>449</v>
      </c>
      <c r="AG53" s="5">
        <v>26.49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7">
        <v>1695</v>
      </c>
    </row>
    <row r="54" spans="2:40">
      <c r="B54" s="5">
        <v>4</v>
      </c>
      <c r="C54" s="6" t="s">
        <v>64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3</v>
      </c>
      <c r="W54" s="5">
        <v>60</v>
      </c>
      <c r="X54" s="5">
        <v>2</v>
      </c>
      <c r="Y54" s="5">
        <v>40</v>
      </c>
      <c r="Z54" s="5">
        <v>5</v>
      </c>
      <c r="AA54" s="5">
        <v>71.430000000000007</v>
      </c>
      <c r="AB54" s="5">
        <v>2</v>
      </c>
      <c r="AC54" s="5">
        <v>100</v>
      </c>
      <c r="AD54" s="5">
        <v>0</v>
      </c>
      <c r="AE54" s="5">
        <v>0</v>
      </c>
      <c r="AF54" s="5">
        <v>2</v>
      </c>
      <c r="AG54" s="5">
        <v>28.57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7</v>
      </c>
    </row>
    <row r="55" spans="2:40">
      <c r="B55" s="85" t="s">
        <v>56</v>
      </c>
      <c r="C55" s="86"/>
      <c r="D55" s="8">
        <v>254</v>
      </c>
      <c r="E55" s="8">
        <v>55.58</v>
      </c>
      <c r="F55" s="8">
        <v>203</v>
      </c>
      <c r="G55" s="8">
        <v>44.42</v>
      </c>
      <c r="H55" s="8">
        <v>457</v>
      </c>
      <c r="I55" s="8">
        <v>3.52</v>
      </c>
      <c r="J55" s="8">
        <v>418</v>
      </c>
      <c r="K55" s="8">
        <v>51.41</v>
      </c>
      <c r="L55" s="8">
        <v>395</v>
      </c>
      <c r="M55" s="8">
        <v>48.59</v>
      </c>
      <c r="N55" s="8">
        <v>813</v>
      </c>
      <c r="O55" s="8">
        <v>6.27</v>
      </c>
      <c r="P55" s="9">
        <v>2085</v>
      </c>
      <c r="Q55" s="8">
        <v>58.67</v>
      </c>
      <c r="R55" s="9">
        <v>1469</v>
      </c>
      <c r="S55" s="8">
        <v>41.33</v>
      </c>
      <c r="T55" s="9">
        <v>3554</v>
      </c>
      <c r="U55" s="8">
        <v>27.39</v>
      </c>
      <c r="V55" s="9">
        <v>2232</v>
      </c>
      <c r="W55" s="8">
        <v>52.84</v>
      </c>
      <c r="X55" s="9">
        <v>1992</v>
      </c>
      <c r="Y55" s="8">
        <v>47.16</v>
      </c>
      <c r="Z55" s="9">
        <v>4224</v>
      </c>
      <c r="AA55" s="8">
        <v>32.549999999999997</v>
      </c>
      <c r="AB55" s="9">
        <v>1814</v>
      </c>
      <c r="AC55" s="8">
        <v>46.19</v>
      </c>
      <c r="AD55" s="9">
        <v>2113</v>
      </c>
      <c r="AE55" s="8">
        <v>53.81</v>
      </c>
      <c r="AF55" s="9">
        <v>3927</v>
      </c>
      <c r="AG55" s="8">
        <v>30.27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9">
        <v>12975</v>
      </c>
    </row>
    <row r="56" spans="2:40"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</row>
    <row r="57" spans="2:40"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</row>
    <row r="58" spans="2:40">
      <c r="B58" s="1" t="s">
        <v>41</v>
      </c>
      <c r="C58" s="1" t="s">
        <v>42</v>
      </c>
      <c r="D58" s="2" t="s">
        <v>43</v>
      </c>
    </row>
    <row r="59" spans="2:40">
      <c r="B59" s="1" t="s">
        <v>44</v>
      </c>
      <c r="C59" s="1" t="s">
        <v>42</v>
      </c>
      <c r="D59" s="2" t="s">
        <v>73</v>
      </c>
    </row>
    <row r="60" spans="2:40">
      <c r="B60" s="1" t="s">
        <v>1</v>
      </c>
      <c r="C60" s="1" t="s">
        <v>42</v>
      </c>
      <c r="D60" s="2" t="s">
        <v>78</v>
      </c>
    </row>
    <row r="61" spans="2:40">
      <c r="B61" s="1" t="s">
        <v>47</v>
      </c>
      <c r="C61" s="1" t="s">
        <v>42</v>
      </c>
      <c r="D61" s="3">
        <v>46184</v>
      </c>
    </row>
    <row r="62" spans="2:40">
      <c r="B62" s="89" t="s">
        <v>48</v>
      </c>
      <c r="C62" s="89" t="s">
        <v>49</v>
      </c>
      <c r="D62" s="83" t="s">
        <v>50</v>
      </c>
      <c r="E62" s="88"/>
      <c r="F62" s="88"/>
      <c r="G62" s="88"/>
      <c r="H62" s="88"/>
      <c r="I62" s="84"/>
      <c r="J62" s="83" t="s">
        <v>51</v>
      </c>
      <c r="K62" s="88"/>
      <c r="L62" s="88"/>
      <c r="M62" s="88"/>
      <c r="N62" s="88"/>
      <c r="O62" s="84"/>
      <c r="P62" s="83" t="s">
        <v>52</v>
      </c>
      <c r="Q62" s="88"/>
      <c r="R62" s="88"/>
      <c r="S62" s="88"/>
      <c r="T62" s="88"/>
      <c r="U62" s="84"/>
      <c r="V62" s="83" t="s">
        <v>53</v>
      </c>
      <c r="W62" s="88"/>
      <c r="X62" s="88"/>
      <c r="Y62" s="88"/>
      <c r="Z62" s="88"/>
      <c r="AA62" s="84"/>
      <c r="AB62" s="83" t="s">
        <v>54</v>
      </c>
      <c r="AC62" s="88"/>
      <c r="AD62" s="88"/>
      <c r="AE62" s="88"/>
      <c r="AF62" s="88"/>
      <c r="AG62" s="84"/>
      <c r="AH62" s="83" t="s">
        <v>55</v>
      </c>
      <c r="AI62" s="88"/>
      <c r="AJ62" s="88"/>
      <c r="AK62" s="88"/>
      <c r="AL62" s="88"/>
      <c r="AM62" s="84"/>
      <c r="AN62" s="89" t="s">
        <v>56</v>
      </c>
    </row>
    <row r="63" spans="2:40">
      <c r="B63" s="90"/>
      <c r="C63" s="90"/>
      <c r="D63" s="83" t="s">
        <v>57</v>
      </c>
      <c r="E63" s="84"/>
      <c r="F63" s="83" t="s">
        <v>58</v>
      </c>
      <c r="G63" s="84"/>
      <c r="H63" s="83" t="s">
        <v>56</v>
      </c>
      <c r="I63" s="84"/>
      <c r="J63" s="83" t="s">
        <v>57</v>
      </c>
      <c r="K63" s="84"/>
      <c r="L63" s="83" t="s">
        <v>58</v>
      </c>
      <c r="M63" s="84"/>
      <c r="N63" s="83" t="s">
        <v>56</v>
      </c>
      <c r="O63" s="84"/>
      <c r="P63" s="83" t="s">
        <v>57</v>
      </c>
      <c r="Q63" s="84"/>
      <c r="R63" s="83" t="s">
        <v>58</v>
      </c>
      <c r="S63" s="84"/>
      <c r="T63" s="83" t="s">
        <v>56</v>
      </c>
      <c r="U63" s="84"/>
      <c r="V63" s="83" t="s">
        <v>57</v>
      </c>
      <c r="W63" s="84"/>
      <c r="X63" s="83" t="s">
        <v>58</v>
      </c>
      <c r="Y63" s="84"/>
      <c r="Z63" s="83" t="s">
        <v>56</v>
      </c>
      <c r="AA63" s="84"/>
      <c r="AB63" s="83" t="s">
        <v>57</v>
      </c>
      <c r="AC63" s="84"/>
      <c r="AD63" s="83" t="s">
        <v>58</v>
      </c>
      <c r="AE63" s="84"/>
      <c r="AF63" s="83" t="s">
        <v>56</v>
      </c>
      <c r="AG63" s="84"/>
      <c r="AH63" s="83" t="s">
        <v>57</v>
      </c>
      <c r="AI63" s="84"/>
      <c r="AJ63" s="83" t="s">
        <v>58</v>
      </c>
      <c r="AK63" s="84"/>
      <c r="AL63" s="83" t="s">
        <v>56</v>
      </c>
      <c r="AM63" s="84"/>
      <c r="AN63" s="90"/>
    </row>
    <row r="64" spans="2:40">
      <c r="B64" s="91"/>
      <c r="C64" s="91"/>
      <c r="D64" s="4" t="s">
        <v>59</v>
      </c>
      <c r="E64" s="4" t="s">
        <v>60</v>
      </c>
      <c r="F64" s="4" t="s">
        <v>59</v>
      </c>
      <c r="G64" s="4" t="s">
        <v>60</v>
      </c>
      <c r="H64" s="4" t="s">
        <v>59</v>
      </c>
      <c r="I64" s="4" t="s">
        <v>60</v>
      </c>
      <c r="J64" s="4" t="s">
        <v>59</v>
      </c>
      <c r="K64" s="4" t="s">
        <v>60</v>
      </c>
      <c r="L64" s="4" t="s">
        <v>59</v>
      </c>
      <c r="M64" s="4" t="s">
        <v>60</v>
      </c>
      <c r="N64" s="4" t="s">
        <v>59</v>
      </c>
      <c r="O64" s="4" t="s">
        <v>60</v>
      </c>
      <c r="P64" s="4" t="s">
        <v>59</v>
      </c>
      <c r="Q64" s="4" t="s">
        <v>60</v>
      </c>
      <c r="R64" s="4" t="s">
        <v>59</v>
      </c>
      <c r="S64" s="4" t="s">
        <v>60</v>
      </c>
      <c r="T64" s="4" t="s">
        <v>59</v>
      </c>
      <c r="U64" s="4" t="s">
        <v>60</v>
      </c>
      <c r="V64" s="4" t="s">
        <v>59</v>
      </c>
      <c r="W64" s="4" t="s">
        <v>60</v>
      </c>
      <c r="X64" s="4" t="s">
        <v>59</v>
      </c>
      <c r="Y64" s="4" t="s">
        <v>60</v>
      </c>
      <c r="Z64" s="4" t="s">
        <v>59</v>
      </c>
      <c r="AA64" s="4" t="s">
        <v>60</v>
      </c>
      <c r="AB64" s="4" t="s">
        <v>59</v>
      </c>
      <c r="AC64" s="4" t="s">
        <v>60</v>
      </c>
      <c r="AD64" s="4" t="s">
        <v>59</v>
      </c>
      <c r="AE64" s="4" t="s">
        <v>60</v>
      </c>
      <c r="AF64" s="4" t="s">
        <v>59</v>
      </c>
      <c r="AG64" s="4" t="s">
        <v>60</v>
      </c>
      <c r="AH64" s="4" t="s">
        <v>59</v>
      </c>
      <c r="AI64" s="4" t="s">
        <v>60</v>
      </c>
      <c r="AJ64" s="4" t="s">
        <v>59</v>
      </c>
      <c r="AK64" s="4" t="s">
        <v>60</v>
      </c>
      <c r="AL64" s="4" t="s">
        <v>59</v>
      </c>
      <c r="AM64" s="4" t="s">
        <v>60</v>
      </c>
      <c r="AN64" s="91"/>
    </row>
    <row r="65" spans="2:40">
      <c r="B65" s="5">
        <v>1</v>
      </c>
      <c r="C65" s="6" t="s">
        <v>61</v>
      </c>
      <c r="D65" s="5">
        <v>846</v>
      </c>
      <c r="E65" s="5">
        <v>52.55</v>
      </c>
      <c r="F65" s="5">
        <v>764</v>
      </c>
      <c r="G65" s="5">
        <v>47.45</v>
      </c>
      <c r="H65" s="7">
        <v>1610</v>
      </c>
      <c r="I65" s="5">
        <v>6.49</v>
      </c>
      <c r="J65" s="7">
        <v>1654</v>
      </c>
      <c r="K65" s="5">
        <v>51.53</v>
      </c>
      <c r="L65" s="7">
        <v>1556</v>
      </c>
      <c r="M65" s="5">
        <v>48.47</v>
      </c>
      <c r="N65" s="7">
        <v>3210</v>
      </c>
      <c r="O65" s="5">
        <v>12.94</v>
      </c>
      <c r="P65" s="7">
        <v>4569</v>
      </c>
      <c r="Q65" s="5">
        <v>49.54</v>
      </c>
      <c r="R65" s="7">
        <v>4654</v>
      </c>
      <c r="S65" s="5">
        <v>50.46</v>
      </c>
      <c r="T65" s="7">
        <v>9223</v>
      </c>
      <c r="U65" s="5">
        <v>37.17</v>
      </c>
      <c r="V65" s="7">
        <v>3235</v>
      </c>
      <c r="W65" s="5">
        <v>46.91</v>
      </c>
      <c r="X65" s="7">
        <v>3661</v>
      </c>
      <c r="Y65" s="5">
        <v>53.09</v>
      </c>
      <c r="Z65" s="7">
        <v>6896</v>
      </c>
      <c r="AA65" s="5">
        <v>27.79</v>
      </c>
      <c r="AB65" s="7">
        <v>1749</v>
      </c>
      <c r="AC65" s="5">
        <v>45.14</v>
      </c>
      <c r="AD65" s="7">
        <v>2126</v>
      </c>
      <c r="AE65" s="5">
        <v>54.86</v>
      </c>
      <c r="AF65" s="7">
        <v>3875</v>
      </c>
      <c r="AG65" s="5">
        <v>15.62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7">
        <v>24814</v>
      </c>
    </row>
    <row r="66" spans="2:40">
      <c r="B66" s="5">
        <v>2</v>
      </c>
      <c r="C66" s="6" t="s">
        <v>62</v>
      </c>
      <c r="D66" s="5">
        <v>155</v>
      </c>
      <c r="E66" s="5">
        <v>55.76</v>
      </c>
      <c r="F66" s="5">
        <v>123</v>
      </c>
      <c r="G66" s="5">
        <v>44.24</v>
      </c>
      <c r="H66" s="5">
        <v>278</v>
      </c>
      <c r="I66" s="5">
        <v>4.0999999999999996</v>
      </c>
      <c r="J66" s="5">
        <v>314</v>
      </c>
      <c r="K66" s="5">
        <v>50.08</v>
      </c>
      <c r="L66" s="5">
        <v>313</v>
      </c>
      <c r="M66" s="5">
        <v>49.92</v>
      </c>
      <c r="N66" s="5">
        <v>627</v>
      </c>
      <c r="O66" s="5">
        <v>9.26</v>
      </c>
      <c r="P66" s="5">
        <v>999</v>
      </c>
      <c r="Q66" s="5">
        <v>51.52</v>
      </c>
      <c r="R66" s="5">
        <v>940</v>
      </c>
      <c r="S66" s="5">
        <v>48.48</v>
      </c>
      <c r="T66" s="7">
        <v>1939</v>
      </c>
      <c r="U66" s="5">
        <v>28.63</v>
      </c>
      <c r="V66" s="7">
        <v>1277</v>
      </c>
      <c r="W66" s="5">
        <v>52.4</v>
      </c>
      <c r="X66" s="7">
        <v>1160</v>
      </c>
      <c r="Y66" s="5">
        <v>47.6</v>
      </c>
      <c r="Z66" s="7">
        <v>2437</v>
      </c>
      <c r="AA66" s="5">
        <v>35.979999999999997</v>
      </c>
      <c r="AB66" s="5">
        <v>669</v>
      </c>
      <c r="AC66" s="5">
        <v>44.84</v>
      </c>
      <c r="AD66" s="5">
        <v>823</v>
      </c>
      <c r="AE66" s="5">
        <v>55.16</v>
      </c>
      <c r="AF66" s="7">
        <v>1492</v>
      </c>
      <c r="AG66" s="5">
        <v>22.03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7">
        <v>6773</v>
      </c>
    </row>
    <row r="67" spans="2:40">
      <c r="B67" s="5">
        <v>3</v>
      </c>
      <c r="C67" s="6" t="s">
        <v>63</v>
      </c>
      <c r="D67" s="5">
        <v>38</v>
      </c>
      <c r="E67" s="5">
        <v>52.78</v>
      </c>
      <c r="F67" s="5">
        <v>34</v>
      </c>
      <c r="G67" s="5">
        <v>47.22</v>
      </c>
      <c r="H67" s="5">
        <v>72</v>
      </c>
      <c r="I67" s="5">
        <v>3.16</v>
      </c>
      <c r="J67" s="5">
        <v>87</v>
      </c>
      <c r="K67" s="5">
        <v>46.52</v>
      </c>
      <c r="L67" s="5">
        <v>100</v>
      </c>
      <c r="M67" s="5">
        <v>53.48</v>
      </c>
      <c r="N67" s="5">
        <v>187</v>
      </c>
      <c r="O67" s="5">
        <v>8.19</v>
      </c>
      <c r="P67" s="5">
        <v>400</v>
      </c>
      <c r="Q67" s="5">
        <v>50.57</v>
      </c>
      <c r="R67" s="5">
        <v>391</v>
      </c>
      <c r="S67" s="5">
        <v>49.43</v>
      </c>
      <c r="T67" s="5">
        <v>791</v>
      </c>
      <c r="U67" s="5">
        <v>34.659999999999997</v>
      </c>
      <c r="V67" s="5">
        <v>306</v>
      </c>
      <c r="W67" s="5">
        <v>45.95</v>
      </c>
      <c r="X67" s="5">
        <v>360</v>
      </c>
      <c r="Y67" s="5">
        <v>54.05</v>
      </c>
      <c r="Z67" s="5">
        <v>666</v>
      </c>
      <c r="AA67" s="5">
        <v>29.18</v>
      </c>
      <c r="AB67" s="5">
        <v>264</v>
      </c>
      <c r="AC67" s="5">
        <v>46.64</v>
      </c>
      <c r="AD67" s="5">
        <v>302</v>
      </c>
      <c r="AE67" s="5">
        <v>53.36</v>
      </c>
      <c r="AF67" s="5">
        <v>566</v>
      </c>
      <c r="AG67" s="5">
        <v>24.8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7">
        <v>2282</v>
      </c>
    </row>
    <row r="68" spans="2:40">
      <c r="B68" s="5">
        <v>4</v>
      </c>
      <c r="C68" s="6" t="s">
        <v>64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1</v>
      </c>
      <c r="K68" s="5">
        <v>25</v>
      </c>
      <c r="L68" s="5">
        <v>3</v>
      </c>
      <c r="M68" s="5">
        <v>75</v>
      </c>
      <c r="N68" s="5">
        <v>4</v>
      </c>
      <c r="O68" s="5">
        <v>25</v>
      </c>
      <c r="P68" s="5">
        <v>2</v>
      </c>
      <c r="Q68" s="5">
        <v>33.33</v>
      </c>
      <c r="R68" s="5">
        <v>4</v>
      </c>
      <c r="S68" s="5">
        <v>66.67</v>
      </c>
      <c r="T68" s="5">
        <v>6</v>
      </c>
      <c r="U68" s="5">
        <v>37.5</v>
      </c>
      <c r="V68" s="5">
        <v>0</v>
      </c>
      <c r="W68" s="5">
        <v>0</v>
      </c>
      <c r="X68" s="5">
        <v>2</v>
      </c>
      <c r="Y68" s="5">
        <v>100</v>
      </c>
      <c r="Z68" s="5">
        <v>2</v>
      </c>
      <c r="AA68" s="5">
        <v>12.5</v>
      </c>
      <c r="AB68" s="5">
        <v>2</v>
      </c>
      <c r="AC68" s="5">
        <v>50</v>
      </c>
      <c r="AD68" s="5">
        <v>2</v>
      </c>
      <c r="AE68" s="5">
        <v>50</v>
      </c>
      <c r="AF68" s="5">
        <v>4</v>
      </c>
      <c r="AG68" s="5">
        <v>25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16</v>
      </c>
    </row>
    <row r="69" spans="2:40">
      <c r="B69" s="85" t="s">
        <v>56</v>
      </c>
      <c r="C69" s="86"/>
      <c r="D69" s="9">
        <v>1039</v>
      </c>
      <c r="E69" s="8">
        <v>53.01</v>
      </c>
      <c r="F69" s="8">
        <v>921</v>
      </c>
      <c r="G69" s="8">
        <v>46.99</v>
      </c>
      <c r="H69" s="9">
        <v>1960</v>
      </c>
      <c r="I69" s="8">
        <v>5.78</v>
      </c>
      <c r="J69" s="9">
        <v>2056</v>
      </c>
      <c r="K69" s="8">
        <v>51.04</v>
      </c>
      <c r="L69" s="9">
        <v>1972</v>
      </c>
      <c r="M69" s="8">
        <v>48.96</v>
      </c>
      <c r="N69" s="9">
        <v>4028</v>
      </c>
      <c r="O69" s="8">
        <v>11.89</v>
      </c>
      <c r="P69" s="9">
        <v>5970</v>
      </c>
      <c r="Q69" s="8">
        <v>49.92</v>
      </c>
      <c r="R69" s="9">
        <v>5989</v>
      </c>
      <c r="S69" s="8">
        <v>50.08</v>
      </c>
      <c r="T69" s="9">
        <v>11959</v>
      </c>
      <c r="U69" s="8">
        <v>35.29</v>
      </c>
      <c r="V69" s="9">
        <v>4818</v>
      </c>
      <c r="W69" s="8">
        <v>48.18</v>
      </c>
      <c r="X69" s="9">
        <v>5183</v>
      </c>
      <c r="Y69" s="8">
        <v>51.82</v>
      </c>
      <c r="Z69" s="9">
        <v>10001</v>
      </c>
      <c r="AA69" s="8">
        <v>29.51</v>
      </c>
      <c r="AB69" s="9">
        <v>2684</v>
      </c>
      <c r="AC69" s="8">
        <v>45.21</v>
      </c>
      <c r="AD69" s="9">
        <v>3253</v>
      </c>
      <c r="AE69" s="8">
        <v>54.79</v>
      </c>
      <c r="AF69" s="9">
        <v>5937</v>
      </c>
      <c r="AG69" s="8">
        <v>17.52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9">
        <v>33885</v>
      </c>
    </row>
    <row r="70" spans="2:40"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  <c r="AM70" s="82"/>
      <c r="AN70" s="82"/>
    </row>
    <row r="71" spans="2:40"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87"/>
    </row>
    <row r="72" spans="2:40">
      <c r="B72" s="1" t="s">
        <v>41</v>
      </c>
      <c r="C72" s="1" t="s">
        <v>42</v>
      </c>
      <c r="D72" s="2" t="s">
        <v>43</v>
      </c>
    </row>
    <row r="73" spans="2:40">
      <c r="B73" s="1" t="s">
        <v>44</v>
      </c>
      <c r="C73" s="1" t="s">
        <v>42</v>
      </c>
      <c r="D73" s="2" t="s">
        <v>73</v>
      </c>
    </row>
    <row r="74" spans="2:40">
      <c r="B74" s="1" t="s">
        <v>1</v>
      </c>
      <c r="C74" s="1" t="s">
        <v>42</v>
      </c>
      <c r="D74" s="2" t="s">
        <v>79</v>
      </c>
    </row>
    <row r="75" spans="2:40">
      <c r="B75" s="1" t="s">
        <v>47</v>
      </c>
      <c r="C75" s="1" t="s">
        <v>42</v>
      </c>
      <c r="D75" s="3">
        <v>46184</v>
      </c>
    </row>
    <row r="76" spans="2:40">
      <c r="B76" s="89" t="s">
        <v>48</v>
      </c>
      <c r="C76" s="89" t="s">
        <v>49</v>
      </c>
      <c r="D76" s="83" t="s">
        <v>50</v>
      </c>
      <c r="E76" s="88"/>
      <c r="F76" s="88"/>
      <c r="G76" s="88"/>
      <c r="H76" s="88"/>
      <c r="I76" s="84"/>
      <c r="J76" s="83" t="s">
        <v>51</v>
      </c>
      <c r="K76" s="88"/>
      <c r="L76" s="88"/>
      <c r="M76" s="88"/>
      <c r="N76" s="88"/>
      <c r="O76" s="84"/>
      <c r="P76" s="83" t="s">
        <v>52</v>
      </c>
      <c r="Q76" s="88"/>
      <c r="R76" s="88"/>
      <c r="S76" s="88"/>
      <c r="T76" s="88"/>
      <c r="U76" s="84"/>
      <c r="V76" s="83" t="s">
        <v>53</v>
      </c>
      <c r="W76" s="88"/>
      <c r="X76" s="88"/>
      <c r="Y76" s="88"/>
      <c r="Z76" s="88"/>
      <c r="AA76" s="84"/>
      <c r="AB76" s="83" t="s">
        <v>54</v>
      </c>
      <c r="AC76" s="88"/>
      <c r="AD76" s="88"/>
      <c r="AE76" s="88"/>
      <c r="AF76" s="88"/>
      <c r="AG76" s="84"/>
      <c r="AH76" s="83" t="s">
        <v>55</v>
      </c>
      <c r="AI76" s="88"/>
      <c r="AJ76" s="88"/>
      <c r="AK76" s="88"/>
      <c r="AL76" s="88"/>
      <c r="AM76" s="84"/>
      <c r="AN76" s="89" t="s">
        <v>56</v>
      </c>
    </row>
    <row r="77" spans="2:40">
      <c r="B77" s="90"/>
      <c r="C77" s="90"/>
      <c r="D77" s="83" t="s">
        <v>57</v>
      </c>
      <c r="E77" s="84"/>
      <c r="F77" s="83" t="s">
        <v>58</v>
      </c>
      <c r="G77" s="84"/>
      <c r="H77" s="83" t="s">
        <v>56</v>
      </c>
      <c r="I77" s="84"/>
      <c r="J77" s="83" t="s">
        <v>57</v>
      </c>
      <c r="K77" s="84"/>
      <c r="L77" s="83" t="s">
        <v>58</v>
      </c>
      <c r="M77" s="84"/>
      <c r="N77" s="83" t="s">
        <v>56</v>
      </c>
      <c r="O77" s="84"/>
      <c r="P77" s="83" t="s">
        <v>57</v>
      </c>
      <c r="Q77" s="84"/>
      <c r="R77" s="83" t="s">
        <v>58</v>
      </c>
      <c r="S77" s="84"/>
      <c r="T77" s="83" t="s">
        <v>56</v>
      </c>
      <c r="U77" s="84"/>
      <c r="V77" s="83" t="s">
        <v>57</v>
      </c>
      <c r="W77" s="84"/>
      <c r="X77" s="83" t="s">
        <v>58</v>
      </c>
      <c r="Y77" s="84"/>
      <c r="Z77" s="83" t="s">
        <v>56</v>
      </c>
      <c r="AA77" s="84"/>
      <c r="AB77" s="83" t="s">
        <v>57</v>
      </c>
      <c r="AC77" s="84"/>
      <c r="AD77" s="83" t="s">
        <v>58</v>
      </c>
      <c r="AE77" s="84"/>
      <c r="AF77" s="83" t="s">
        <v>56</v>
      </c>
      <c r="AG77" s="84"/>
      <c r="AH77" s="83" t="s">
        <v>57</v>
      </c>
      <c r="AI77" s="84"/>
      <c r="AJ77" s="83" t="s">
        <v>58</v>
      </c>
      <c r="AK77" s="84"/>
      <c r="AL77" s="83" t="s">
        <v>56</v>
      </c>
      <c r="AM77" s="84"/>
      <c r="AN77" s="90"/>
    </row>
    <row r="78" spans="2:40">
      <c r="B78" s="91"/>
      <c r="C78" s="91"/>
      <c r="D78" s="4" t="s">
        <v>59</v>
      </c>
      <c r="E78" s="4" t="s">
        <v>60</v>
      </c>
      <c r="F78" s="4" t="s">
        <v>59</v>
      </c>
      <c r="G78" s="4" t="s">
        <v>60</v>
      </c>
      <c r="H78" s="4" t="s">
        <v>59</v>
      </c>
      <c r="I78" s="4" t="s">
        <v>60</v>
      </c>
      <c r="J78" s="4" t="s">
        <v>59</v>
      </c>
      <c r="K78" s="4" t="s">
        <v>60</v>
      </c>
      <c r="L78" s="4" t="s">
        <v>59</v>
      </c>
      <c r="M78" s="4" t="s">
        <v>60</v>
      </c>
      <c r="N78" s="4" t="s">
        <v>59</v>
      </c>
      <c r="O78" s="4" t="s">
        <v>60</v>
      </c>
      <c r="P78" s="4" t="s">
        <v>59</v>
      </c>
      <c r="Q78" s="4" t="s">
        <v>60</v>
      </c>
      <c r="R78" s="4" t="s">
        <v>59</v>
      </c>
      <c r="S78" s="4" t="s">
        <v>60</v>
      </c>
      <c r="T78" s="4" t="s">
        <v>59</v>
      </c>
      <c r="U78" s="4" t="s">
        <v>60</v>
      </c>
      <c r="V78" s="4" t="s">
        <v>59</v>
      </c>
      <c r="W78" s="4" t="s">
        <v>60</v>
      </c>
      <c r="X78" s="4" t="s">
        <v>59</v>
      </c>
      <c r="Y78" s="4" t="s">
        <v>60</v>
      </c>
      <c r="Z78" s="4" t="s">
        <v>59</v>
      </c>
      <c r="AA78" s="4" t="s">
        <v>60</v>
      </c>
      <c r="AB78" s="4" t="s">
        <v>59</v>
      </c>
      <c r="AC78" s="4" t="s">
        <v>60</v>
      </c>
      <c r="AD78" s="4" t="s">
        <v>59</v>
      </c>
      <c r="AE78" s="4" t="s">
        <v>60</v>
      </c>
      <c r="AF78" s="4" t="s">
        <v>59</v>
      </c>
      <c r="AG78" s="4" t="s">
        <v>60</v>
      </c>
      <c r="AH78" s="4" t="s">
        <v>59</v>
      </c>
      <c r="AI78" s="4" t="s">
        <v>60</v>
      </c>
      <c r="AJ78" s="4" t="s">
        <v>59</v>
      </c>
      <c r="AK78" s="4" t="s">
        <v>60</v>
      </c>
      <c r="AL78" s="4" t="s">
        <v>59</v>
      </c>
      <c r="AM78" s="4" t="s">
        <v>60</v>
      </c>
      <c r="AN78" s="91"/>
    </row>
    <row r="79" spans="2:40">
      <c r="B79" s="5">
        <v>1</v>
      </c>
      <c r="C79" s="6" t="s">
        <v>61</v>
      </c>
      <c r="D79" s="5">
        <v>385</v>
      </c>
      <c r="E79" s="5">
        <v>53.85</v>
      </c>
      <c r="F79" s="5">
        <v>330</v>
      </c>
      <c r="G79" s="5">
        <v>46.15</v>
      </c>
      <c r="H79" s="5">
        <v>715</v>
      </c>
      <c r="I79" s="5">
        <v>4.38</v>
      </c>
      <c r="J79" s="5">
        <v>796</v>
      </c>
      <c r="K79" s="5">
        <v>51.86</v>
      </c>
      <c r="L79" s="5">
        <v>739</v>
      </c>
      <c r="M79" s="5">
        <v>48.14</v>
      </c>
      <c r="N79" s="7">
        <v>1535</v>
      </c>
      <c r="O79" s="5">
        <v>9.41</v>
      </c>
      <c r="P79" s="7">
        <v>2716</v>
      </c>
      <c r="Q79" s="5">
        <v>51.39</v>
      </c>
      <c r="R79" s="7">
        <v>2569</v>
      </c>
      <c r="S79" s="5">
        <v>48.61</v>
      </c>
      <c r="T79" s="7">
        <v>5285</v>
      </c>
      <c r="U79" s="5">
        <v>32.4</v>
      </c>
      <c r="V79" s="7">
        <v>2555</v>
      </c>
      <c r="W79" s="5">
        <v>48.97</v>
      </c>
      <c r="X79" s="7">
        <v>2662</v>
      </c>
      <c r="Y79" s="5">
        <v>51.03</v>
      </c>
      <c r="Z79" s="7">
        <v>5217</v>
      </c>
      <c r="AA79" s="5">
        <v>31.98</v>
      </c>
      <c r="AB79" s="7">
        <v>1525</v>
      </c>
      <c r="AC79" s="5">
        <v>42.81</v>
      </c>
      <c r="AD79" s="7">
        <v>2037</v>
      </c>
      <c r="AE79" s="5">
        <v>57.19</v>
      </c>
      <c r="AF79" s="7">
        <v>3562</v>
      </c>
      <c r="AG79" s="5">
        <v>21.83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7">
        <v>16314</v>
      </c>
    </row>
    <row r="80" spans="2:40">
      <c r="B80" s="5">
        <v>2</v>
      </c>
      <c r="C80" s="6" t="s">
        <v>62</v>
      </c>
      <c r="D80" s="5">
        <v>55</v>
      </c>
      <c r="E80" s="5">
        <v>55</v>
      </c>
      <c r="F80" s="5">
        <v>45</v>
      </c>
      <c r="G80" s="5">
        <v>45</v>
      </c>
      <c r="H80" s="5">
        <v>100</v>
      </c>
      <c r="I80" s="5">
        <v>2.8</v>
      </c>
      <c r="J80" s="5">
        <v>118</v>
      </c>
      <c r="K80" s="5">
        <v>53.15</v>
      </c>
      <c r="L80" s="5">
        <v>104</v>
      </c>
      <c r="M80" s="5">
        <v>46.85</v>
      </c>
      <c r="N80" s="5">
        <v>222</v>
      </c>
      <c r="O80" s="5">
        <v>6.22</v>
      </c>
      <c r="P80" s="5">
        <v>441</v>
      </c>
      <c r="Q80" s="5">
        <v>52.75</v>
      </c>
      <c r="R80" s="5">
        <v>395</v>
      </c>
      <c r="S80" s="5">
        <v>47.25</v>
      </c>
      <c r="T80" s="5">
        <v>836</v>
      </c>
      <c r="U80" s="5">
        <v>23.4</v>
      </c>
      <c r="V80" s="5">
        <v>618</v>
      </c>
      <c r="W80" s="5">
        <v>51.63</v>
      </c>
      <c r="X80" s="5">
        <v>579</v>
      </c>
      <c r="Y80" s="5">
        <v>48.37</v>
      </c>
      <c r="Z80" s="7">
        <v>1197</v>
      </c>
      <c r="AA80" s="5">
        <v>33.51</v>
      </c>
      <c r="AB80" s="5">
        <v>574</v>
      </c>
      <c r="AC80" s="5">
        <v>47.17</v>
      </c>
      <c r="AD80" s="5">
        <v>643</v>
      </c>
      <c r="AE80" s="5">
        <v>52.83</v>
      </c>
      <c r="AF80" s="7">
        <v>1217</v>
      </c>
      <c r="AG80" s="5">
        <v>34.07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7">
        <v>3572</v>
      </c>
    </row>
    <row r="81" spans="2:40">
      <c r="B81" s="5">
        <v>3</v>
      </c>
      <c r="C81" s="6" t="s">
        <v>63</v>
      </c>
      <c r="D81" s="5">
        <v>23</v>
      </c>
      <c r="E81" s="5">
        <v>52.27</v>
      </c>
      <c r="F81" s="5">
        <v>21</v>
      </c>
      <c r="G81" s="5">
        <v>47.73</v>
      </c>
      <c r="H81" s="5">
        <v>44</v>
      </c>
      <c r="I81" s="5">
        <v>3.06</v>
      </c>
      <c r="J81" s="5">
        <v>51</v>
      </c>
      <c r="K81" s="5">
        <v>57.3</v>
      </c>
      <c r="L81" s="5">
        <v>38</v>
      </c>
      <c r="M81" s="5">
        <v>42.7</v>
      </c>
      <c r="N81" s="5">
        <v>89</v>
      </c>
      <c r="O81" s="5">
        <v>6.18</v>
      </c>
      <c r="P81" s="5">
        <v>183</v>
      </c>
      <c r="Q81" s="5">
        <v>50.69</v>
      </c>
      <c r="R81" s="5">
        <v>178</v>
      </c>
      <c r="S81" s="5">
        <v>49.31</v>
      </c>
      <c r="T81" s="5">
        <v>361</v>
      </c>
      <c r="U81" s="5">
        <v>25.07</v>
      </c>
      <c r="V81" s="5">
        <v>243</v>
      </c>
      <c r="W81" s="5">
        <v>48.21</v>
      </c>
      <c r="X81" s="5">
        <v>261</v>
      </c>
      <c r="Y81" s="5">
        <v>51.79</v>
      </c>
      <c r="Z81" s="5">
        <v>504</v>
      </c>
      <c r="AA81" s="5">
        <v>35</v>
      </c>
      <c r="AB81" s="5">
        <v>176</v>
      </c>
      <c r="AC81" s="5">
        <v>39.82</v>
      </c>
      <c r="AD81" s="5">
        <v>266</v>
      </c>
      <c r="AE81" s="5">
        <v>60.18</v>
      </c>
      <c r="AF81" s="5">
        <v>442</v>
      </c>
      <c r="AG81" s="5">
        <v>30.69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7">
        <v>1440</v>
      </c>
    </row>
    <row r="82" spans="2:40">
      <c r="B82" s="5">
        <v>4</v>
      </c>
      <c r="C82" s="6" t="s">
        <v>64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1</v>
      </c>
      <c r="M82" s="5">
        <v>100</v>
      </c>
      <c r="N82" s="5">
        <v>1</v>
      </c>
      <c r="O82" s="5">
        <v>8.33</v>
      </c>
      <c r="P82" s="5">
        <v>0</v>
      </c>
      <c r="Q82" s="5">
        <v>0</v>
      </c>
      <c r="R82" s="5">
        <v>4</v>
      </c>
      <c r="S82" s="5">
        <v>100</v>
      </c>
      <c r="T82" s="5">
        <v>4</v>
      </c>
      <c r="U82" s="5">
        <v>33.33</v>
      </c>
      <c r="V82" s="5">
        <v>0</v>
      </c>
      <c r="W82" s="5">
        <v>0</v>
      </c>
      <c r="X82" s="5">
        <v>2</v>
      </c>
      <c r="Y82" s="5">
        <v>100</v>
      </c>
      <c r="Z82" s="5">
        <v>2</v>
      </c>
      <c r="AA82" s="5">
        <v>16.670000000000002</v>
      </c>
      <c r="AB82" s="5">
        <v>1</v>
      </c>
      <c r="AC82" s="5">
        <v>20</v>
      </c>
      <c r="AD82" s="5">
        <v>4</v>
      </c>
      <c r="AE82" s="5">
        <v>80</v>
      </c>
      <c r="AF82" s="5">
        <v>5</v>
      </c>
      <c r="AG82" s="5">
        <v>41.67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12</v>
      </c>
    </row>
    <row r="83" spans="2:40">
      <c r="B83" s="85" t="s">
        <v>56</v>
      </c>
      <c r="C83" s="86"/>
      <c r="D83" s="8">
        <v>463</v>
      </c>
      <c r="E83" s="8">
        <v>53.9</v>
      </c>
      <c r="F83" s="8">
        <v>396</v>
      </c>
      <c r="G83" s="8">
        <v>46.1</v>
      </c>
      <c r="H83" s="8">
        <v>859</v>
      </c>
      <c r="I83" s="8">
        <v>4.03</v>
      </c>
      <c r="J83" s="8">
        <v>965</v>
      </c>
      <c r="K83" s="8">
        <v>52.25</v>
      </c>
      <c r="L83" s="8">
        <v>882</v>
      </c>
      <c r="M83" s="8">
        <v>47.75</v>
      </c>
      <c r="N83" s="9">
        <v>1847</v>
      </c>
      <c r="O83" s="8">
        <v>8.66</v>
      </c>
      <c r="P83" s="9">
        <v>3340</v>
      </c>
      <c r="Q83" s="8">
        <v>51.5</v>
      </c>
      <c r="R83" s="9">
        <v>3146</v>
      </c>
      <c r="S83" s="8">
        <v>48.5</v>
      </c>
      <c r="T83" s="9">
        <v>6486</v>
      </c>
      <c r="U83" s="8">
        <v>30.4</v>
      </c>
      <c r="V83" s="9">
        <v>3416</v>
      </c>
      <c r="W83" s="8">
        <v>49.36</v>
      </c>
      <c r="X83" s="9">
        <v>3504</v>
      </c>
      <c r="Y83" s="8">
        <v>50.64</v>
      </c>
      <c r="Z83" s="9">
        <v>6920</v>
      </c>
      <c r="AA83" s="8">
        <v>32.43</v>
      </c>
      <c r="AB83" s="9">
        <v>2276</v>
      </c>
      <c r="AC83" s="8">
        <v>43.55</v>
      </c>
      <c r="AD83" s="9">
        <v>2950</v>
      </c>
      <c r="AE83" s="8">
        <v>56.45</v>
      </c>
      <c r="AF83" s="9">
        <v>5226</v>
      </c>
      <c r="AG83" s="8">
        <v>24.49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9">
        <v>21338</v>
      </c>
    </row>
    <row r="84" spans="2:40"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/>
      <c r="AI84" s="82"/>
      <c r="AJ84" s="82"/>
      <c r="AK84" s="82"/>
      <c r="AL84" s="82"/>
      <c r="AM84" s="82"/>
      <c r="AN84" s="82"/>
    </row>
  </sheetData>
  <mergeCells count="179">
    <mergeCell ref="AB6:AG6"/>
    <mergeCell ref="AH6:AM6"/>
    <mergeCell ref="AN6:AN8"/>
    <mergeCell ref="D7:E7"/>
    <mergeCell ref="F7:G7"/>
    <mergeCell ref="H7:I7"/>
    <mergeCell ref="J7:K7"/>
    <mergeCell ref="L7:M7"/>
    <mergeCell ref="N7:O7"/>
    <mergeCell ref="P7:Q7"/>
    <mergeCell ref="D6:I6"/>
    <mergeCell ref="J6:O6"/>
    <mergeCell ref="P6:U6"/>
    <mergeCell ref="V6:AA6"/>
    <mergeCell ref="R7:S7"/>
    <mergeCell ref="T7:U7"/>
    <mergeCell ref="V7:W7"/>
    <mergeCell ref="X7:Y7"/>
    <mergeCell ref="AL7:AM7"/>
    <mergeCell ref="B13:C13"/>
    <mergeCell ref="B20:B22"/>
    <mergeCell ref="C20:C22"/>
    <mergeCell ref="D20:I20"/>
    <mergeCell ref="J20:O20"/>
    <mergeCell ref="P20:U20"/>
    <mergeCell ref="V20:AA20"/>
    <mergeCell ref="AB20:AG20"/>
    <mergeCell ref="AH20:AM20"/>
    <mergeCell ref="Z7:AA7"/>
    <mergeCell ref="AB7:AC7"/>
    <mergeCell ref="AD7:AE7"/>
    <mergeCell ref="AF7:AG7"/>
    <mergeCell ref="AH7:AI7"/>
    <mergeCell ref="AJ7:AK7"/>
    <mergeCell ref="B6:B8"/>
    <mergeCell ref="C6:C8"/>
    <mergeCell ref="AN20:AN22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AH21:AI21"/>
    <mergeCell ref="AJ21:AK21"/>
    <mergeCell ref="AL21:AM21"/>
    <mergeCell ref="B27:C27"/>
    <mergeCell ref="B34:B36"/>
    <mergeCell ref="C34:C36"/>
    <mergeCell ref="D34:I34"/>
    <mergeCell ref="J34:O34"/>
    <mergeCell ref="P34:U34"/>
    <mergeCell ref="V34:AA34"/>
    <mergeCell ref="V21:W21"/>
    <mergeCell ref="X21:Y21"/>
    <mergeCell ref="Z21:AA21"/>
    <mergeCell ref="AB21:AC21"/>
    <mergeCell ref="AD21:AE21"/>
    <mergeCell ref="AF21:AG21"/>
    <mergeCell ref="AB34:AG34"/>
    <mergeCell ref="AH34:AM34"/>
    <mergeCell ref="AN34:AN36"/>
    <mergeCell ref="D35:E35"/>
    <mergeCell ref="F35:G35"/>
    <mergeCell ref="H35:I35"/>
    <mergeCell ref="J35:K35"/>
    <mergeCell ref="L35:M35"/>
    <mergeCell ref="N35:O35"/>
    <mergeCell ref="P35:Q35"/>
    <mergeCell ref="AD35:AE35"/>
    <mergeCell ref="AF35:AG35"/>
    <mergeCell ref="AH35:AI35"/>
    <mergeCell ref="AJ35:AK35"/>
    <mergeCell ref="AL35:AM35"/>
    <mergeCell ref="B41:C41"/>
    <mergeCell ref="R35:S35"/>
    <mergeCell ref="T35:U35"/>
    <mergeCell ref="V35:W35"/>
    <mergeCell ref="X35:Y35"/>
    <mergeCell ref="Z35:AA35"/>
    <mergeCell ref="AB35:AC35"/>
    <mergeCell ref="AB48:AG48"/>
    <mergeCell ref="AH48:AM48"/>
    <mergeCell ref="AN48:AN50"/>
    <mergeCell ref="D49:E49"/>
    <mergeCell ref="F49:G49"/>
    <mergeCell ref="H49:I49"/>
    <mergeCell ref="J49:K49"/>
    <mergeCell ref="L49:M49"/>
    <mergeCell ref="N49:O49"/>
    <mergeCell ref="P49:Q49"/>
    <mergeCell ref="D48:I48"/>
    <mergeCell ref="J48:O48"/>
    <mergeCell ref="P48:U48"/>
    <mergeCell ref="V48:AA48"/>
    <mergeCell ref="R49:S49"/>
    <mergeCell ref="T49:U49"/>
    <mergeCell ref="V49:W49"/>
    <mergeCell ref="X49:Y49"/>
    <mergeCell ref="AL49:AM49"/>
    <mergeCell ref="B55:C55"/>
    <mergeCell ref="B62:B64"/>
    <mergeCell ref="C62:C64"/>
    <mergeCell ref="D62:I62"/>
    <mergeCell ref="J62:O62"/>
    <mergeCell ref="P62:U62"/>
    <mergeCell ref="V62:AA62"/>
    <mergeCell ref="AB62:AG62"/>
    <mergeCell ref="AH62:AM62"/>
    <mergeCell ref="Z49:AA49"/>
    <mergeCell ref="AB49:AC49"/>
    <mergeCell ref="AD49:AE49"/>
    <mergeCell ref="AF49:AG49"/>
    <mergeCell ref="AH49:AI49"/>
    <mergeCell ref="AJ49:AK49"/>
    <mergeCell ref="B48:B50"/>
    <mergeCell ref="C48:C50"/>
    <mergeCell ref="AN62:AN64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AH63:AI63"/>
    <mergeCell ref="AJ63:AK63"/>
    <mergeCell ref="AL63:AM63"/>
    <mergeCell ref="B69:C69"/>
    <mergeCell ref="B76:B78"/>
    <mergeCell ref="C76:C78"/>
    <mergeCell ref="D76:I76"/>
    <mergeCell ref="J76:O76"/>
    <mergeCell ref="P76:U76"/>
    <mergeCell ref="V76:AA76"/>
    <mergeCell ref="V63:W63"/>
    <mergeCell ref="X63:Y63"/>
    <mergeCell ref="Z63:AA63"/>
    <mergeCell ref="AB63:AC63"/>
    <mergeCell ref="AD63:AE63"/>
    <mergeCell ref="AF63:AG63"/>
    <mergeCell ref="AH76:AM76"/>
    <mergeCell ref="AN76:AN78"/>
    <mergeCell ref="D77:E77"/>
    <mergeCell ref="F77:G77"/>
    <mergeCell ref="H77:I77"/>
    <mergeCell ref="J77:K77"/>
    <mergeCell ref="L77:M77"/>
    <mergeCell ref="N77:O77"/>
    <mergeCell ref="P77:Q77"/>
    <mergeCell ref="B56:AN56"/>
    <mergeCell ref="B57:AN57"/>
    <mergeCell ref="B70:AN70"/>
    <mergeCell ref="B71:AN71"/>
    <mergeCell ref="B84:AN84"/>
    <mergeCell ref="B14:AN14"/>
    <mergeCell ref="B15:AN15"/>
    <mergeCell ref="B28:AN28"/>
    <mergeCell ref="B29:AN29"/>
    <mergeCell ref="B42:AN42"/>
    <mergeCell ref="B43:AN43"/>
    <mergeCell ref="AD77:AE77"/>
    <mergeCell ref="AF77:AG77"/>
    <mergeCell ref="AH77:AI77"/>
    <mergeCell ref="AJ77:AK77"/>
    <mergeCell ref="AL77:AM77"/>
    <mergeCell ref="B83:C83"/>
    <mergeCell ref="R77:S77"/>
    <mergeCell ref="T77:U77"/>
    <mergeCell ref="V77:W77"/>
    <mergeCell ref="X77:Y77"/>
    <mergeCell ref="Z77:AA77"/>
    <mergeCell ref="AB77:AC77"/>
    <mergeCell ref="AB76:AG7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EE17C-8255-4911-9B6F-F097A19A7F48}">
  <dimension ref="B2:AN70"/>
  <sheetViews>
    <sheetView topLeftCell="A51" workbookViewId="0">
      <selection activeCell="G4" sqref="G4"/>
    </sheetView>
  </sheetViews>
  <sheetFormatPr defaultRowHeight="14.5"/>
  <cols>
    <col min="4" max="4" width="14.90625" customWidth="1"/>
  </cols>
  <sheetData>
    <row r="2" spans="2:40">
      <c r="B2" s="1" t="s">
        <v>41</v>
      </c>
      <c r="C2" s="1" t="s">
        <v>42</v>
      </c>
      <c r="D2" s="2" t="s">
        <v>43</v>
      </c>
    </row>
    <row r="3" spans="2:40">
      <c r="B3" s="1" t="s">
        <v>44</v>
      </c>
      <c r="C3" s="1" t="s">
        <v>42</v>
      </c>
      <c r="D3" s="2" t="s">
        <v>80</v>
      </c>
    </row>
    <row r="4" spans="2:40">
      <c r="B4" s="1" t="s">
        <v>1</v>
      </c>
      <c r="C4" s="1" t="s">
        <v>42</v>
      </c>
      <c r="D4" s="2" t="s">
        <v>81</v>
      </c>
    </row>
    <row r="5" spans="2:40">
      <c r="B5" s="1" t="s">
        <v>47</v>
      </c>
      <c r="C5" s="1" t="s">
        <v>42</v>
      </c>
      <c r="D5" s="3">
        <v>46184</v>
      </c>
    </row>
    <row r="6" spans="2:40">
      <c r="B6" s="89" t="s">
        <v>48</v>
      </c>
      <c r="C6" s="89" t="s">
        <v>49</v>
      </c>
      <c r="D6" s="83" t="s">
        <v>50</v>
      </c>
      <c r="E6" s="88"/>
      <c r="F6" s="88"/>
      <c r="G6" s="88"/>
      <c r="H6" s="88"/>
      <c r="I6" s="84"/>
      <c r="J6" s="83" t="s">
        <v>51</v>
      </c>
      <c r="K6" s="88"/>
      <c r="L6" s="88"/>
      <c r="M6" s="88"/>
      <c r="N6" s="88"/>
      <c r="O6" s="84"/>
      <c r="P6" s="83" t="s">
        <v>52</v>
      </c>
      <c r="Q6" s="88"/>
      <c r="R6" s="88"/>
      <c r="S6" s="88"/>
      <c r="T6" s="88"/>
      <c r="U6" s="84"/>
      <c r="V6" s="83" t="s">
        <v>53</v>
      </c>
      <c r="W6" s="88"/>
      <c r="X6" s="88"/>
      <c r="Y6" s="88"/>
      <c r="Z6" s="88"/>
      <c r="AA6" s="84"/>
      <c r="AB6" s="83" t="s">
        <v>54</v>
      </c>
      <c r="AC6" s="88"/>
      <c r="AD6" s="88"/>
      <c r="AE6" s="88"/>
      <c r="AF6" s="88"/>
      <c r="AG6" s="84"/>
      <c r="AH6" s="83" t="s">
        <v>55</v>
      </c>
      <c r="AI6" s="88"/>
      <c r="AJ6" s="88"/>
      <c r="AK6" s="88"/>
      <c r="AL6" s="88"/>
      <c r="AM6" s="84"/>
      <c r="AN6" s="89" t="s">
        <v>56</v>
      </c>
    </row>
    <row r="7" spans="2:40">
      <c r="B7" s="90"/>
      <c r="C7" s="90"/>
      <c r="D7" s="83" t="s">
        <v>57</v>
      </c>
      <c r="E7" s="84"/>
      <c r="F7" s="83" t="s">
        <v>58</v>
      </c>
      <c r="G7" s="84"/>
      <c r="H7" s="83" t="s">
        <v>56</v>
      </c>
      <c r="I7" s="84"/>
      <c r="J7" s="83" t="s">
        <v>57</v>
      </c>
      <c r="K7" s="84"/>
      <c r="L7" s="83" t="s">
        <v>58</v>
      </c>
      <c r="M7" s="84"/>
      <c r="N7" s="83" t="s">
        <v>56</v>
      </c>
      <c r="O7" s="84"/>
      <c r="P7" s="83" t="s">
        <v>57</v>
      </c>
      <c r="Q7" s="84"/>
      <c r="R7" s="83" t="s">
        <v>58</v>
      </c>
      <c r="S7" s="84"/>
      <c r="T7" s="83" t="s">
        <v>56</v>
      </c>
      <c r="U7" s="84"/>
      <c r="V7" s="83" t="s">
        <v>57</v>
      </c>
      <c r="W7" s="84"/>
      <c r="X7" s="83" t="s">
        <v>58</v>
      </c>
      <c r="Y7" s="84"/>
      <c r="Z7" s="83" t="s">
        <v>56</v>
      </c>
      <c r="AA7" s="84"/>
      <c r="AB7" s="83" t="s">
        <v>57</v>
      </c>
      <c r="AC7" s="84"/>
      <c r="AD7" s="83" t="s">
        <v>58</v>
      </c>
      <c r="AE7" s="84"/>
      <c r="AF7" s="83" t="s">
        <v>56</v>
      </c>
      <c r="AG7" s="84"/>
      <c r="AH7" s="83" t="s">
        <v>57</v>
      </c>
      <c r="AI7" s="84"/>
      <c r="AJ7" s="83" t="s">
        <v>58</v>
      </c>
      <c r="AK7" s="84"/>
      <c r="AL7" s="83" t="s">
        <v>56</v>
      </c>
      <c r="AM7" s="84"/>
      <c r="AN7" s="90"/>
    </row>
    <row r="8" spans="2:40">
      <c r="B8" s="91"/>
      <c r="C8" s="91"/>
      <c r="D8" s="4" t="s">
        <v>59</v>
      </c>
      <c r="E8" s="4" t="s">
        <v>60</v>
      </c>
      <c r="F8" s="4" t="s">
        <v>59</v>
      </c>
      <c r="G8" s="4" t="s">
        <v>60</v>
      </c>
      <c r="H8" s="4" t="s">
        <v>59</v>
      </c>
      <c r="I8" s="4" t="s">
        <v>60</v>
      </c>
      <c r="J8" s="4" t="s">
        <v>59</v>
      </c>
      <c r="K8" s="4" t="s">
        <v>60</v>
      </c>
      <c r="L8" s="4" t="s">
        <v>59</v>
      </c>
      <c r="M8" s="4" t="s">
        <v>60</v>
      </c>
      <c r="N8" s="4" t="s">
        <v>59</v>
      </c>
      <c r="O8" s="4" t="s">
        <v>60</v>
      </c>
      <c r="P8" s="4" t="s">
        <v>59</v>
      </c>
      <c r="Q8" s="4" t="s">
        <v>60</v>
      </c>
      <c r="R8" s="4" t="s">
        <v>59</v>
      </c>
      <c r="S8" s="4" t="s">
        <v>60</v>
      </c>
      <c r="T8" s="4" t="s">
        <v>59</v>
      </c>
      <c r="U8" s="4" t="s">
        <v>60</v>
      </c>
      <c r="V8" s="4" t="s">
        <v>59</v>
      </c>
      <c r="W8" s="4" t="s">
        <v>60</v>
      </c>
      <c r="X8" s="4" t="s">
        <v>59</v>
      </c>
      <c r="Y8" s="4" t="s">
        <v>60</v>
      </c>
      <c r="Z8" s="4" t="s">
        <v>59</v>
      </c>
      <c r="AA8" s="4" t="s">
        <v>60</v>
      </c>
      <c r="AB8" s="4" t="s">
        <v>59</v>
      </c>
      <c r="AC8" s="4" t="s">
        <v>60</v>
      </c>
      <c r="AD8" s="4" t="s">
        <v>59</v>
      </c>
      <c r="AE8" s="4" t="s">
        <v>60</v>
      </c>
      <c r="AF8" s="4" t="s">
        <v>59</v>
      </c>
      <c r="AG8" s="4" t="s">
        <v>60</v>
      </c>
      <c r="AH8" s="4" t="s">
        <v>59</v>
      </c>
      <c r="AI8" s="4" t="s">
        <v>60</v>
      </c>
      <c r="AJ8" s="4" t="s">
        <v>59</v>
      </c>
      <c r="AK8" s="4" t="s">
        <v>60</v>
      </c>
      <c r="AL8" s="4" t="s">
        <v>59</v>
      </c>
      <c r="AM8" s="4" t="s">
        <v>60</v>
      </c>
      <c r="AN8" s="91"/>
    </row>
    <row r="9" spans="2:40">
      <c r="B9" s="5">
        <v>1</v>
      </c>
      <c r="C9" s="6" t="s">
        <v>61</v>
      </c>
      <c r="D9" s="5">
        <v>271</v>
      </c>
      <c r="E9" s="5">
        <v>53.56</v>
      </c>
      <c r="F9" s="5">
        <v>235</v>
      </c>
      <c r="G9" s="5">
        <v>46.44</v>
      </c>
      <c r="H9" s="5">
        <v>506</v>
      </c>
      <c r="I9" s="5">
        <v>4.47</v>
      </c>
      <c r="J9" s="5">
        <v>533</v>
      </c>
      <c r="K9" s="5">
        <v>50.47</v>
      </c>
      <c r="L9" s="5">
        <v>523</v>
      </c>
      <c r="M9" s="5">
        <v>49.53</v>
      </c>
      <c r="N9" s="7">
        <v>1056</v>
      </c>
      <c r="O9" s="5">
        <v>9.34</v>
      </c>
      <c r="P9" s="7">
        <v>1803</v>
      </c>
      <c r="Q9" s="5">
        <v>49.41</v>
      </c>
      <c r="R9" s="7">
        <v>1846</v>
      </c>
      <c r="S9" s="5">
        <v>50.59</v>
      </c>
      <c r="T9" s="7">
        <v>3649</v>
      </c>
      <c r="U9" s="5">
        <v>32.26</v>
      </c>
      <c r="V9" s="7">
        <v>1760</v>
      </c>
      <c r="W9" s="5">
        <v>49.75</v>
      </c>
      <c r="X9" s="7">
        <v>1778</v>
      </c>
      <c r="Y9" s="5">
        <v>50.25</v>
      </c>
      <c r="Z9" s="7">
        <v>3538</v>
      </c>
      <c r="AA9" s="5">
        <v>31.28</v>
      </c>
      <c r="AB9" s="7">
        <v>1092</v>
      </c>
      <c r="AC9" s="5">
        <v>42.64</v>
      </c>
      <c r="AD9" s="7">
        <v>1469</v>
      </c>
      <c r="AE9" s="5">
        <v>57.36</v>
      </c>
      <c r="AF9" s="7">
        <v>2561</v>
      </c>
      <c r="AG9" s="5">
        <v>22.64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7">
        <v>11310</v>
      </c>
    </row>
    <row r="10" spans="2:40">
      <c r="B10" s="5">
        <v>2</v>
      </c>
      <c r="C10" s="6" t="s">
        <v>62</v>
      </c>
      <c r="D10" s="5">
        <v>36</v>
      </c>
      <c r="E10" s="5">
        <v>55.38</v>
      </c>
      <c r="F10" s="5">
        <v>29</v>
      </c>
      <c r="G10" s="5">
        <v>44.62</v>
      </c>
      <c r="H10" s="5">
        <v>65</v>
      </c>
      <c r="I10" s="5">
        <v>3.88</v>
      </c>
      <c r="J10" s="5">
        <v>86</v>
      </c>
      <c r="K10" s="5">
        <v>55.84</v>
      </c>
      <c r="L10" s="5">
        <v>68</v>
      </c>
      <c r="M10" s="5">
        <v>44.16</v>
      </c>
      <c r="N10" s="5">
        <v>154</v>
      </c>
      <c r="O10" s="5">
        <v>9.19</v>
      </c>
      <c r="P10" s="5">
        <v>263</v>
      </c>
      <c r="Q10" s="5">
        <v>54.45</v>
      </c>
      <c r="R10" s="5">
        <v>220</v>
      </c>
      <c r="S10" s="5">
        <v>45.55</v>
      </c>
      <c r="T10" s="5">
        <v>483</v>
      </c>
      <c r="U10" s="5">
        <v>28.82</v>
      </c>
      <c r="V10" s="5">
        <v>304</v>
      </c>
      <c r="W10" s="5">
        <v>55.27</v>
      </c>
      <c r="X10" s="5">
        <v>246</v>
      </c>
      <c r="Y10" s="5">
        <v>44.73</v>
      </c>
      <c r="Z10" s="5">
        <v>550</v>
      </c>
      <c r="AA10" s="5">
        <v>32.82</v>
      </c>
      <c r="AB10" s="5">
        <v>210</v>
      </c>
      <c r="AC10" s="5">
        <v>49.53</v>
      </c>
      <c r="AD10" s="5">
        <v>214</v>
      </c>
      <c r="AE10" s="5">
        <v>50.47</v>
      </c>
      <c r="AF10" s="5">
        <v>424</v>
      </c>
      <c r="AG10" s="5">
        <v>25.3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7">
        <v>1676</v>
      </c>
    </row>
    <row r="11" spans="2:40">
      <c r="B11" s="5">
        <v>3</v>
      </c>
      <c r="C11" s="6" t="s">
        <v>63</v>
      </c>
      <c r="D11" s="5">
        <v>13</v>
      </c>
      <c r="E11" s="5">
        <v>52</v>
      </c>
      <c r="F11" s="5">
        <v>12</v>
      </c>
      <c r="G11" s="5">
        <v>48</v>
      </c>
      <c r="H11" s="5">
        <v>25</v>
      </c>
      <c r="I11" s="5">
        <v>3.67</v>
      </c>
      <c r="J11" s="5">
        <v>28</v>
      </c>
      <c r="K11" s="5">
        <v>51.85</v>
      </c>
      <c r="L11" s="5">
        <v>26</v>
      </c>
      <c r="M11" s="5">
        <v>48.15</v>
      </c>
      <c r="N11" s="5">
        <v>54</v>
      </c>
      <c r="O11" s="5">
        <v>7.93</v>
      </c>
      <c r="P11" s="5">
        <v>122</v>
      </c>
      <c r="Q11" s="5">
        <v>48.22</v>
      </c>
      <c r="R11" s="5">
        <v>131</v>
      </c>
      <c r="S11" s="5">
        <v>51.78</v>
      </c>
      <c r="T11" s="5">
        <v>253</v>
      </c>
      <c r="U11" s="5">
        <v>37.15</v>
      </c>
      <c r="V11" s="5">
        <v>99</v>
      </c>
      <c r="W11" s="5">
        <v>45</v>
      </c>
      <c r="X11" s="5">
        <v>121</v>
      </c>
      <c r="Y11" s="5">
        <v>55</v>
      </c>
      <c r="Z11" s="5">
        <v>220</v>
      </c>
      <c r="AA11" s="5">
        <v>32.31</v>
      </c>
      <c r="AB11" s="5">
        <v>54</v>
      </c>
      <c r="AC11" s="5">
        <v>41.86</v>
      </c>
      <c r="AD11" s="5">
        <v>75</v>
      </c>
      <c r="AE11" s="5">
        <v>58.14</v>
      </c>
      <c r="AF11" s="5">
        <v>129</v>
      </c>
      <c r="AG11" s="5">
        <v>18.940000000000001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681</v>
      </c>
    </row>
    <row r="12" spans="2:40">
      <c r="B12" s="5">
        <v>4</v>
      </c>
      <c r="C12" s="6" t="s">
        <v>64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100</v>
      </c>
      <c r="X12" s="5">
        <v>0</v>
      </c>
      <c r="Y12" s="5">
        <v>0</v>
      </c>
      <c r="Z12" s="5">
        <v>1</v>
      </c>
      <c r="AA12" s="5">
        <v>50</v>
      </c>
      <c r="AB12" s="5">
        <v>1</v>
      </c>
      <c r="AC12" s="5">
        <v>100</v>
      </c>
      <c r="AD12" s="5">
        <v>0</v>
      </c>
      <c r="AE12" s="5">
        <v>0</v>
      </c>
      <c r="AF12" s="5">
        <v>1</v>
      </c>
      <c r="AG12" s="5">
        <v>50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2</v>
      </c>
    </row>
    <row r="13" spans="2:40">
      <c r="B13" s="85" t="s">
        <v>56</v>
      </c>
      <c r="C13" s="86"/>
      <c r="D13" s="8">
        <v>320</v>
      </c>
      <c r="E13" s="8">
        <v>53.69</v>
      </c>
      <c r="F13" s="8">
        <v>276</v>
      </c>
      <c r="G13" s="8">
        <v>46.31</v>
      </c>
      <c r="H13" s="8">
        <v>596</v>
      </c>
      <c r="I13" s="8">
        <v>4.3600000000000003</v>
      </c>
      <c r="J13" s="8">
        <v>647</v>
      </c>
      <c r="K13" s="8">
        <v>51.19</v>
      </c>
      <c r="L13" s="8">
        <v>617</v>
      </c>
      <c r="M13" s="8">
        <v>48.81</v>
      </c>
      <c r="N13" s="9">
        <v>1264</v>
      </c>
      <c r="O13" s="8">
        <v>9.25</v>
      </c>
      <c r="P13" s="9">
        <v>2188</v>
      </c>
      <c r="Q13" s="8">
        <v>49.9</v>
      </c>
      <c r="R13" s="9">
        <v>2197</v>
      </c>
      <c r="S13" s="8">
        <v>50.1</v>
      </c>
      <c r="T13" s="9">
        <v>4385</v>
      </c>
      <c r="U13" s="8">
        <v>32.08</v>
      </c>
      <c r="V13" s="9">
        <v>2164</v>
      </c>
      <c r="W13" s="8">
        <v>50.22</v>
      </c>
      <c r="X13" s="9">
        <v>2145</v>
      </c>
      <c r="Y13" s="8">
        <v>49.78</v>
      </c>
      <c r="Z13" s="9">
        <v>4309</v>
      </c>
      <c r="AA13" s="8">
        <v>31.52</v>
      </c>
      <c r="AB13" s="9">
        <v>1357</v>
      </c>
      <c r="AC13" s="8">
        <v>43.56</v>
      </c>
      <c r="AD13" s="9">
        <v>1758</v>
      </c>
      <c r="AE13" s="8">
        <v>56.44</v>
      </c>
      <c r="AF13" s="9">
        <v>3115</v>
      </c>
      <c r="AG13" s="8">
        <v>22.79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9">
        <v>13669</v>
      </c>
    </row>
    <row r="14" spans="2:40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</row>
    <row r="15" spans="2:40"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</row>
    <row r="16" spans="2:40">
      <c r="B16" s="1" t="s">
        <v>41</v>
      </c>
      <c r="C16" s="1" t="s">
        <v>42</v>
      </c>
      <c r="D16" s="2" t="s">
        <v>43</v>
      </c>
    </row>
    <row r="17" spans="2:40">
      <c r="B17" s="1" t="s">
        <v>44</v>
      </c>
      <c r="C17" s="1" t="s">
        <v>42</v>
      </c>
      <c r="D17" s="2" t="s">
        <v>80</v>
      </c>
    </row>
    <row r="18" spans="2:40">
      <c r="B18" s="1" t="s">
        <v>1</v>
      </c>
      <c r="C18" s="1" t="s">
        <v>42</v>
      </c>
      <c r="D18" s="2" t="s">
        <v>82</v>
      </c>
    </row>
    <row r="19" spans="2:40">
      <c r="B19" s="1" t="s">
        <v>47</v>
      </c>
      <c r="C19" s="1" t="s">
        <v>42</v>
      </c>
      <c r="D19" s="3">
        <v>46184</v>
      </c>
    </row>
    <row r="20" spans="2:40">
      <c r="B20" s="89" t="s">
        <v>48</v>
      </c>
      <c r="C20" s="89" t="s">
        <v>49</v>
      </c>
      <c r="D20" s="83" t="s">
        <v>50</v>
      </c>
      <c r="E20" s="88"/>
      <c r="F20" s="88"/>
      <c r="G20" s="88"/>
      <c r="H20" s="88"/>
      <c r="I20" s="84"/>
      <c r="J20" s="83" t="s">
        <v>51</v>
      </c>
      <c r="K20" s="88"/>
      <c r="L20" s="88"/>
      <c r="M20" s="88"/>
      <c r="N20" s="88"/>
      <c r="O20" s="84"/>
      <c r="P20" s="83" t="s">
        <v>52</v>
      </c>
      <c r="Q20" s="88"/>
      <c r="R20" s="88"/>
      <c r="S20" s="88"/>
      <c r="T20" s="88"/>
      <c r="U20" s="84"/>
      <c r="V20" s="83" t="s">
        <v>53</v>
      </c>
      <c r="W20" s="88"/>
      <c r="X20" s="88"/>
      <c r="Y20" s="88"/>
      <c r="Z20" s="88"/>
      <c r="AA20" s="84"/>
      <c r="AB20" s="83" t="s">
        <v>54</v>
      </c>
      <c r="AC20" s="88"/>
      <c r="AD20" s="88"/>
      <c r="AE20" s="88"/>
      <c r="AF20" s="88"/>
      <c r="AG20" s="84"/>
      <c r="AH20" s="83" t="s">
        <v>55</v>
      </c>
      <c r="AI20" s="88"/>
      <c r="AJ20" s="88"/>
      <c r="AK20" s="88"/>
      <c r="AL20" s="88"/>
      <c r="AM20" s="84"/>
      <c r="AN20" s="89" t="s">
        <v>56</v>
      </c>
    </row>
    <row r="21" spans="2:40">
      <c r="B21" s="90"/>
      <c r="C21" s="90"/>
      <c r="D21" s="83" t="s">
        <v>57</v>
      </c>
      <c r="E21" s="84"/>
      <c r="F21" s="83" t="s">
        <v>58</v>
      </c>
      <c r="G21" s="84"/>
      <c r="H21" s="83" t="s">
        <v>56</v>
      </c>
      <c r="I21" s="84"/>
      <c r="J21" s="83" t="s">
        <v>57</v>
      </c>
      <c r="K21" s="84"/>
      <c r="L21" s="83" t="s">
        <v>58</v>
      </c>
      <c r="M21" s="84"/>
      <c r="N21" s="83" t="s">
        <v>56</v>
      </c>
      <c r="O21" s="84"/>
      <c r="P21" s="83" t="s">
        <v>57</v>
      </c>
      <c r="Q21" s="84"/>
      <c r="R21" s="83" t="s">
        <v>58</v>
      </c>
      <c r="S21" s="84"/>
      <c r="T21" s="83" t="s">
        <v>56</v>
      </c>
      <c r="U21" s="84"/>
      <c r="V21" s="83" t="s">
        <v>57</v>
      </c>
      <c r="W21" s="84"/>
      <c r="X21" s="83" t="s">
        <v>58</v>
      </c>
      <c r="Y21" s="84"/>
      <c r="Z21" s="83" t="s">
        <v>56</v>
      </c>
      <c r="AA21" s="84"/>
      <c r="AB21" s="83" t="s">
        <v>57</v>
      </c>
      <c r="AC21" s="84"/>
      <c r="AD21" s="83" t="s">
        <v>58</v>
      </c>
      <c r="AE21" s="84"/>
      <c r="AF21" s="83" t="s">
        <v>56</v>
      </c>
      <c r="AG21" s="84"/>
      <c r="AH21" s="83" t="s">
        <v>57</v>
      </c>
      <c r="AI21" s="84"/>
      <c r="AJ21" s="83" t="s">
        <v>58</v>
      </c>
      <c r="AK21" s="84"/>
      <c r="AL21" s="83" t="s">
        <v>56</v>
      </c>
      <c r="AM21" s="84"/>
      <c r="AN21" s="90"/>
    </row>
    <row r="22" spans="2:40">
      <c r="B22" s="91"/>
      <c r="C22" s="91"/>
      <c r="D22" s="4" t="s">
        <v>59</v>
      </c>
      <c r="E22" s="4" t="s">
        <v>60</v>
      </c>
      <c r="F22" s="4" t="s">
        <v>59</v>
      </c>
      <c r="G22" s="4" t="s">
        <v>60</v>
      </c>
      <c r="H22" s="4" t="s">
        <v>59</v>
      </c>
      <c r="I22" s="4" t="s">
        <v>60</v>
      </c>
      <c r="J22" s="4" t="s">
        <v>59</v>
      </c>
      <c r="K22" s="4" t="s">
        <v>60</v>
      </c>
      <c r="L22" s="4" t="s">
        <v>59</v>
      </c>
      <c r="M22" s="4" t="s">
        <v>60</v>
      </c>
      <c r="N22" s="4" t="s">
        <v>59</v>
      </c>
      <c r="O22" s="4" t="s">
        <v>60</v>
      </c>
      <c r="P22" s="4" t="s">
        <v>59</v>
      </c>
      <c r="Q22" s="4" t="s">
        <v>60</v>
      </c>
      <c r="R22" s="4" t="s">
        <v>59</v>
      </c>
      <c r="S22" s="4" t="s">
        <v>60</v>
      </c>
      <c r="T22" s="4" t="s">
        <v>59</v>
      </c>
      <c r="U22" s="4" t="s">
        <v>60</v>
      </c>
      <c r="V22" s="4" t="s">
        <v>59</v>
      </c>
      <c r="W22" s="4" t="s">
        <v>60</v>
      </c>
      <c r="X22" s="4" t="s">
        <v>59</v>
      </c>
      <c r="Y22" s="4" t="s">
        <v>60</v>
      </c>
      <c r="Z22" s="4" t="s">
        <v>59</v>
      </c>
      <c r="AA22" s="4" t="s">
        <v>60</v>
      </c>
      <c r="AB22" s="4" t="s">
        <v>59</v>
      </c>
      <c r="AC22" s="4" t="s">
        <v>60</v>
      </c>
      <c r="AD22" s="4" t="s">
        <v>59</v>
      </c>
      <c r="AE22" s="4" t="s">
        <v>60</v>
      </c>
      <c r="AF22" s="4" t="s">
        <v>59</v>
      </c>
      <c r="AG22" s="4" t="s">
        <v>60</v>
      </c>
      <c r="AH22" s="4" t="s">
        <v>59</v>
      </c>
      <c r="AI22" s="4" t="s">
        <v>60</v>
      </c>
      <c r="AJ22" s="4" t="s">
        <v>59</v>
      </c>
      <c r="AK22" s="4" t="s">
        <v>60</v>
      </c>
      <c r="AL22" s="4" t="s">
        <v>59</v>
      </c>
      <c r="AM22" s="4" t="s">
        <v>60</v>
      </c>
      <c r="AN22" s="91"/>
    </row>
    <row r="23" spans="2:40">
      <c r="B23" s="5">
        <v>1</v>
      </c>
      <c r="C23" s="6" t="s">
        <v>61</v>
      </c>
      <c r="D23" s="5">
        <v>182</v>
      </c>
      <c r="E23" s="5">
        <v>50.56</v>
      </c>
      <c r="F23" s="5">
        <v>178</v>
      </c>
      <c r="G23" s="5">
        <v>49.44</v>
      </c>
      <c r="H23" s="5">
        <v>360</v>
      </c>
      <c r="I23" s="5">
        <v>3.72</v>
      </c>
      <c r="J23" s="5">
        <v>409</v>
      </c>
      <c r="K23" s="5">
        <v>51.38</v>
      </c>
      <c r="L23" s="5">
        <v>387</v>
      </c>
      <c r="M23" s="5">
        <v>48.62</v>
      </c>
      <c r="N23" s="5">
        <v>796</v>
      </c>
      <c r="O23" s="5">
        <v>8.24</v>
      </c>
      <c r="P23" s="7">
        <v>1336</v>
      </c>
      <c r="Q23" s="5">
        <v>50.11</v>
      </c>
      <c r="R23" s="7">
        <v>1330</v>
      </c>
      <c r="S23" s="5">
        <v>49.89</v>
      </c>
      <c r="T23" s="7">
        <v>2666</v>
      </c>
      <c r="U23" s="5">
        <v>27.58</v>
      </c>
      <c r="V23" s="7">
        <v>1761</v>
      </c>
      <c r="W23" s="5">
        <v>52.16</v>
      </c>
      <c r="X23" s="7">
        <v>1615</v>
      </c>
      <c r="Y23" s="5">
        <v>47.84</v>
      </c>
      <c r="Z23" s="7">
        <v>3376</v>
      </c>
      <c r="AA23" s="5">
        <v>34.93</v>
      </c>
      <c r="AB23" s="7">
        <v>1043</v>
      </c>
      <c r="AC23" s="5">
        <v>42.28</v>
      </c>
      <c r="AD23" s="7">
        <v>1424</v>
      </c>
      <c r="AE23" s="5">
        <v>57.72</v>
      </c>
      <c r="AF23" s="7">
        <v>2467</v>
      </c>
      <c r="AG23" s="5">
        <v>25.53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7">
        <v>9665</v>
      </c>
    </row>
    <row r="24" spans="2:40">
      <c r="B24" s="5">
        <v>2</v>
      </c>
      <c r="C24" s="6" t="s">
        <v>62</v>
      </c>
      <c r="D24" s="5">
        <v>15</v>
      </c>
      <c r="E24" s="5">
        <v>53.57</v>
      </c>
      <c r="F24" s="5">
        <v>13</v>
      </c>
      <c r="G24" s="5">
        <v>46.43</v>
      </c>
      <c r="H24" s="5">
        <v>28</v>
      </c>
      <c r="I24" s="5">
        <v>7.39</v>
      </c>
      <c r="J24" s="5">
        <v>33</v>
      </c>
      <c r="K24" s="5">
        <v>45.83</v>
      </c>
      <c r="L24" s="5">
        <v>39</v>
      </c>
      <c r="M24" s="5">
        <v>54.17</v>
      </c>
      <c r="N24" s="5">
        <v>72</v>
      </c>
      <c r="O24" s="5">
        <v>19</v>
      </c>
      <c r="P24" s="5">
        <v>45</v>
      </c>
      <c r="Q24" s="5">
        <v>49.45</v>
      </c>
      <c r="R24" s="5">
        <v>46</v>
      </c>
      <c r="S24" s="5">
        <v>50.55</v>
      </c>
      <c r="T24" s="5">
        <v>91</v>
      </c>
      <c r="U24" s="5">
        <v>24.01</v>
      </c>
      <c r="V24" s="5">
        <v>40</v>
      </c>
      <c r="W24" s="5">
        <v>62.5</v>
      </c>
      <c r="X24" s="5">
        <v>24</v>
      </c>
      <c r="Y24" s="5">
        <v>37.5</v>
      </c>
      <c r="Z24" s="5">
        <v>64</v>
      </c>
      <c r="AA24" s="5">
        <v>16.89</v>
      </c>
      <c r="AB24" s="5">
        <v>65</v>
      </c>
      <c r="AC24" s="5">
        <v>52.42</v>
      </c>
      <c r="AD24" s="5">
        <v>59</v>
      </c>
      <c r="AE24" s="5">
        <v>47.58</v>
      </c>
      <c r="AF24" s="5">
        <v>124</v>
      </c>
      <c r="AG24" s="5">
        <v>32.72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379</v>
      </c>
    </row>
    <row r="25" spans="2:40">
      <c r="B25" s="5">
        <v>3</v>
      </c>
      <c r="C25" s="6" t="s">
        <v>63</v>
      </c>
      <c r="D25" s="5">
        <v>0</v>
      </c>
      <c r="E25" s="5">
        <v>0</v>
      </c>
      <c r="F25" s="5">
        <v>1</v>
      </c>
      <c r="G25" s="5">
        <v>100</v>
      </c>
      <c r="H25" s="5">
        <v>1</v>
      </c>
      <c r="I25" s="5">
        <v>1.79</v>
      </c>
      <c r="J25" s="5">
        <v>4</v>
      </c>
      <c r="K25" s="5">
        <v>50</v>
      </c>
      <c r="L25" s="5">
        <v>4</v>
      </c>
      <c r="M25" s="5">
        <v>50</v>
      </c>
      <c r="N25" s="5">
        <v>8</v>
      </c>
      <c r="O25" s="5">
        <v>14.29</v>
      </c>
      <c r="P25" s="5">
        <v>11</v>
      </c>
      <c r="Q25" s="5">
        <v>42.31</v>
      </c>
      <c r="R25" s="5">
        <v>15</v>
      </c>
      <c r="S25" s="5">
        <v>57.69</v>
      </c>
      <c r="T25" s="5">
        <v>26</v>
      </c>
      <c r="U25" s="5">
        <v>46.43</v>
      </c>
      <c r="V25" s="5">
        <v>12</v>
      </c>
      <c r="W25" s="5">
        <v>80</v>
      </c>
      <c r="X25" s="5">
        <v>3</v>
      </c>
      <c r="Y25" s="5">
        <v>20</v>
      </c>
      <c r="Z25" s="5">
        <v>15</v>
      </c>
      <c r="AA25" s="5">
        <v>26.79</v>
      </c>
      <c r="AB25" s="5">
        <v>3</v>
      </c>
      <c r="AC25" s="5">
        <v>50</v>
      </c>
      <c r="AD25" s="5">
        <v>3</v>
      </c>
      <c r="AE25" s="5">
        <v>50</v>
      </c>
      <c r="AF25" s="5">
        <v>6</v>
      </c>
      <c r="AG25" s="5">
        <v>10.71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56</v>
      </c>
    </row>
    <row r="26" spans="2:40">
      <c r="B26" s="5">
        <v>4</v>
      </c>
      <c r="C26" s="6" t="s">
        <v>64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</row>
    <row r="27" spans="2:40">
      <c r="B27" s="85" t="s">
        <v>56</v>
      </c>
      <c r="C27" s="86"/>
      <c r="D27" s="8">
        <v>197</v>
      </c>
      <c r="E27" s="8">
        <v>50.64</v>
      </c>
      <c r="F27" s="8">
        <v>192</v>
      </c>
      <c r="G27" s="8">
        <v>49.36</v>
      </c>
      <c r="H27" s="8">
        <v>389</v>
      </c>
      <c r="I27" s="8">
        <v>3.85</v>
      </c>
      <c r="J27" s="8">
        <v>446</v>
      </c>
      <c r="K27" s="8">
        <v>50.91</v>
      </c>
      <c r="L27" s="8">
        <v>430</v>
      </c>
      <c r="M27" s="8">
        <v>49.09</v>
      </c>
      <c r="N27" s="8">
        <v>876</v>
      </c>
      <c r="O27" s="8">
        <v>8.67</v>
      </c>
      <c r="P27" s="9">
        <v>1392</v>
      </c>
      <c r="Q27" s="8">
        <v>50.02</v>
      </c>
      <c r="R27" s="9">
        <v>1391</v>
      </c>
      <c r="S27" s="8">
        <v>49.98</v>
      </c>
      <c r="T27" s="9">
        <v>2783</v>
      </c>
      <c r="U27" s="8">
        <v>27.55</v>
      </c>
      <c r="V27" s="9">
        <v>1813</v>
      </c>
      <c r="W27" s="8">
        <v>52.47</v>
      </c>
      <c r="X27" s="9">
        <v>1642</v>
      </c>
      <c r="Y27" s="8">
        <v>47.53</v>
      </c>
      <c r="Z27" s="9">
        <v>3455</v>
      </c>
      <c r="AA27" s="8">
        <v>34.21</v>
      </c>
      <c r="AB27" s="9">
        <v>1111</v>
      </c>
      <c r="AC27" s="8">
        <v>42.78</v>
      </c>
      <c r="AD27" s="9">
        <v>1486</v>
      </c>
      <c r="AE27" s="8">
        <v>57.22</v>
      </c>
      <c r="AF27" s="9">
        <v>2597</v>
      </c>
      <c r="AG27" s="8">
        <v>25.71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9">
        <v>10100</v>
      </c>
    </row>
    <row r="28" spans="2:40"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</row>
    <row r="29" spans="2:40"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</row>
    <row r="30" spans="2:40">
      <c r="B30" s="1" t="s">
        <v>41</v>
      </c>
      <c r="C30" s="1" t="s">
        <v>42</v>
      </c>
      <c r="D30" s="2" t="s">
        <v>43</v>
      </c>
    </row>
    <row r="31" spans="2:40">
      <c r="B31" s="1" t="s">
        <v>44</v>
      </c>
      <c r="C31" s="1" t="s">
        <v>42</v>
      </c>
      <c r="D31" s="2" t="s">
        <v>80</v>
      </c>
    </row>
    <row r="32" spans="2:40">
      <c r="B32" s="1" t="s">
        <v>1</v>
      </c>
      <c r="C32" s="1" t="s">
        <v>42</v>
      </c>
      <c r="D32" s="2" t="s">
        <v>83</v>
      </c>
    </row>
    <row r="33" spans="2:40">
      <c r="B33" s="1" t="s">
        <v>47</v>
      </c>
      <c r="C33" s="1" t="s">
        <v>42</v>
      </c>
      <c r="D33" s="3">
        <v>46184</v>
      </c>
    </row>
    <row r="34" spans="2:40">
      <c r="B34" s="89" t="s">
        <v>48</v>
      </c>
      <c r="C34" s="89" t="s">
        <v>49</v>
      </c>
      <c r="D34" s="83" t="s">
        <v>50</v>
      </c>
      <c r="E34" s="88"/>
      <c r="F34" s="88"/>
      <c r="G34" s="88"/>
      <c r="H34" s="88"/>
      <c r="I34" s="84"/>
      <c r="J34" s="83" t="s">
        <v>51</v>
      </c>
      <c r="K34" s="88"/>
      <c r="L34" s="88"/>
      <c r="M34" s="88"/>
      <c r="N34" s="88"/>
      <c r="O34" s="84"/>
      <c r="P34" s="83" t="s">
        <v>52</v>
      </c>
      <c r="Q34" s="88"/>
      <c r="R34" s="88"/>
      <c r="S34" s="88"/>
      <c r="T34" s="88"/>
      <c r="U34" s="84"/>
      <c r="V34" s="83" t="s">
        <v>53</v>
      </c>
      <c r="W34" s="88"/>
      <c r="X34" s="88"/>
      <c r="Y34" s="88"/>
      <c r="Z34" s="88"/>
      <c r="AA34" s="84"/>
      <c r="AB34" s="83" t="s">
        <v>54</v>
      </c>
      <c r="AC34" s="88"/>
      <c r="AD34" s="88"/>
      <c r="AE34" s="88"/>
      <c r="AF34" s="88"/>
      <c r="AG34" s="84"/>
      <c r="AH34" s="83" t="s">
        <v>55</v>
      </c>
      <c r="AI34" s="88"/>
      <c r="AJ34" s="88"/>
      <c r="AK34" s="88"/>
      <c r="AL34" s="88"/>
      <c r="AM34" s="84"/>
      <c r="AN34" s="89" t="s">
        <v>56</v>
      </c>
    </row>
    <row r="35" spans="2:40">
      <c r="B35" s="90"/>
      <c r="C35" s="90"/>
      <c r="D35" s="83" t="s">
        <v>57</v>
      </c>
      <c r="E35" s="84"/>
      <c r="F35" s="83" t="s">
        <v>58</v>
      </c>
      <c r="G35" s="84"/>
      <c r="H35" s="83" t="s">
        <v>56</v>
      </c>
      <c r="I35" s="84"/>
      <c r="J35" s="83" t="s">
        <v>57</v>
      </c>
      <c r="K35" s="84"/>
      <c r="L35" s="83" t="s">
        <v>58</v>
      </c>
      <c r="M35" s="84"/>
      <c r="N35" s="83" t="s">
        <v>56</v>
      </c>
      <c r="O35" s="84"/>
      <c r="P35" s="83" t="s">
        <v>57</v>
      </c>
      <c r="Q35" s="84"/>
      <c r="R35" s="83" t="s">
        <v>58</v>
      </c>
      <c r="S35" s="84"/>
      <c r="T35" s="83" t="s">
        <v>56</v>
      </c>
      <c r="U35" s="84"/>
      <c r="V35" s="83" t="s">
        <v>57</v>
      </c>
      <c r="W35" s="84"/>
      <c r="X35" s="83" t="s">
        <v>58</v>
      </c>
      <c r="Y35" s="84"/>
      <c r="Z35" s="83" t="s">
        <v>56</v>
      </c>
      <c r="AA35" s="84"/>
      <c r="AB35" s="83" t="s">
        <v>57</v>
      </c>
      <c r="AC35" s="84"/>
      <c r="AD35" s="83" t="s">
        <v>58</v>
      </c>
      <c r="AE35" s="84"/>
      <c r="AF35" s="83" t="s">
        <v>56</v>
      </c>
      <c r="AG35" s="84"/>
      <c r="AH35" s="83" t="s">
        <v>57</v>
      </c>
      <c r="AI35" s="84"/>
      <c r="AJ35" s="83" t="s">
        <v>58</v>
      </c>
      <c r="AK35" s="84"/>
      <c r="AL35" s="83" t="s">
        <v>56</v>
      </c>
      <c r="AM35" s="84"/>
      <c r="AN35" s="90"/>
    </row>
    <row r="36" spans="2:40">
      <c r="B36" s="91"/>
      <c r="C36" s="91"/>
      <c r="D36" s="4" t="s">
        <v>59</v>
      </c>
      <c r="E36" s="4" t="s">
        <v>60</v>
      </c>
      <c r="F36" s="4" t="s">
        <v>59</v>
      </c>
      <c r="G36" s="4" t="s">
        <v>60</v>
      </c>
      <c r="H36" s="4" t="s">
        <v>59</v>
      </c>
      <c r="I36" s="4" t="s">
        <v>60</v>
      </c>
      <c r="J36" s="4" t="s">
        <v>59</v>
      </c>
      <c r="K36" s="4" t="s">
        <v>60</v>
      </c>
      <c r="L36" s="4" t="s">
        <v>59</v>
      </c>
      <c r="M36" s="4" t="s">
        <v>60</v>
      </c>
      <c r="N36" s="4" t="s">
        <v>59</v>
      </c>
      <c r="O36" s="4" t="s">
        <v>60</v>
      </c>
      <c r="P36" s="4" t="s">
        <v>59</v>
      </c>
      <c r="Q36" s="4" t="s">
        <v>60</v>
      </c>
      <c r="R36" s="4" t="s">
        <v>59</v>
      </c>
      <c r="S36" s="4" t="s">
        <v>60</v>
      </c>
      <c r="T36" s="4" t="s">
        <v>59</v>
      </c>
      <c r="U36" s="4" t="s">
        <v>60</v>
      </c>
      <c r="V36" s="4" t="s">
        <v>59</v>
      </c>
      <c r="W36" s="4" t="s">
        <v>60</v>
      </c>
      <c r="X36" s="4" t="s">
        <v>59</v>
      </c>
      <c r="Y36" s="4" t="s">
        <v>60</v>
      </c>
      <c r="Z36" s="4" t="s">
        <v>59</v>
      </c>
      <c r="AA36" s="4" t="s">
        <v>60</v>
      </c>
      <c r="AB36" s="4" t="s">
        <v>59</v>
      </c>
      <c r="AC36" s="4" t="s">
        <v>60</v>
      </c>
      <c r="AD36" s="4" t="s">
        <v>59</v>
      </c>
      <c r="AE36" s="4" t="s">
        <v>60</v>
      </c>
      <c r="AF36" s="4" t="s">
        <v>59</v>
      </c>
      <c r="AG36" s="4" t="s">
        <v>60</v>
      </c>
      <c r="AH36" s="4" t="s">
        <v>59</v>
      </c>
      <c r="AI36" s="4" t="s">
        <v>60</v>
      </c>
      <c r="AJ36" s="4" t="s">
        <v>59</v>
      </c>
      <c r="AK36" s="4" t="s">
        <v>60</v>
      </c>
      <c r="AL36" s="4" t="s">
        <v>59</v>
      </c>
      <c r="AM36" s="4" t="s">
        <v>60</v>
      </c>
      <c r="AN36" s="91"/>
    </row>
    <row r="37" spans="2:40">
      <c r="B37" s="5">
        <v>1</v>
      </c>
      <c r="C37" s="6" t="s">
        <v>61</v>
      </c>
      <c r="D37" s="5">
        <v>161</v>
      </c>
      <c r="E37" s="5">
        <v>44.48</v>
      </c>
      <c r="F37" s="5">
        <v>201</v>
      </c>
      <c r="G37" s="5">
        <v>55.52</v>
      </c>
      <c r="H37" s="5">
        <v>362</v>
      </c>
      <c r="I37" s="5">
        <v>4.46</v>
      </c>
      <c r="J37" s="5">
        <v>314</v>
      </c>
      <c r="K37" s="5">
        <v>49.45</v>
      </c>
      <c r="L37" s="5">
        <v>321</v>
      </c>
      <c r="M37" s="5">
        <v>50.55</v>
      </c>
      <c r="N37" s="5">
        <v>635</v>
      </c>
      <c r="O37" s="5">
        <v>7.82</v>
      </c>
      <c r="P37" s="7">
        <v>1290</v>
      </c>
      <c r="Q37" s="5">
        <v>50.97</v>
      </c>
      <c r="R37" s="7">
        <v>1241</v>
      </c>
      <c r="S37" s="5">
        <v>49.03</v>
      </c>
      <c r="T37" s="7">
        <v>2531</v>
      </c>
      <c r="U37" s="5">
        <v>31.18</v>
      </c>
      <c r="V37" s="7">
        <v>1422</v>
      </c>
      <c r="W37" s="5">
        <v>51.75</v>
      </c>
      <c r="X37" s="7">
        <v>1326</v>
      </c>
      <c r="Y37" s="5">
        <v>48.25</v>
      </c>
      <c r="Z37" s="7">
        <v>2748</v>
      </c>
      <c r="AA37" s="5">
        <v>33.85</v>
      </c>
      <c r="AB37" s="5">
        <v>782</v>
      </c>
      <c r="AC37" s="5">
        <v>42.48</v>
      </c>
      <c r="AD37" s="7">
        <v>1059</v>
      </c>
      <c r="AE37" s="5">
        <v>57.52</v>
      </c>
      <c r="AF37" s="7">
        <v>1841</v>
      </c>
      <c r="AG37" s="5">
        <v>22.68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7">
        <v>8117</v>
      </c>
    </row>
    <row r="38" spans="2:40">
      <c r="B38" s="5">
        <v>2</v>
      </c>
      <c r="C38" s="6" t="s">
        <v>62</v>
      </c>
      <c r="D38" s="5">
        <v>25</v>
      </c>
      <c r="E38" s="5">
        <v>54.35</v>
      </c>
      <c r="F38" s="5">
        <v>21</v>
      </c>
      <c r="G38" s="5">
        <v>45.65</v>
      </c>
      <c r="H38" s="5">
        <v>46</v>
      </c>
      <c r="I38" s="5">
        <v>3.04</v>
      </c>
      <c r="J38" s="5">
        <v>35</v>
      </c>
      <c r="K38" s="5">
        <v>57.38</v>
      </c>
      <c r="L38" s="5">
        <v>26</v>
      </c>
      <c r="M38" s="5">
        <v>42.62</v>
      </c>
      <c r="N38" s="5">
        <v>61</v>
      </c>
      <c r="O38" s="5">
        <v>4.03</v>
      </c>
      <c r="P38" s="5">
        <v>145</v>
      </c>
      <c r="Q38" s="5">
        <v>53.11</v>
      </c>
      <c r="R38" s="5">
        <v>128</v>
      </c>
      <c r="S38" s="5">
        <v>46.89</v>
      </c>
      <c r="T38" s="5">
        <v>273</v>
      </c>
      <c r="U38" s="5">
        <v>18.03</v>
      </c>
      <c r="V38" s="5">
        <v>229</v>
      </c>
      <c r="W38" s="5">
        <v>54.92</v>
      </c>
      <c r="X38" s="5">
        <v>188</v>
      </c>
      <c r="Y38" s="5">
        <v>45.08</v>
      </c>
      <c r="Z38" s="5">
        <v>417</v>
      </c>
      <c r="AA38" s="5">
        <v>27.54</v>
      </c>
      <c r="AB38" s="5">
        <v>360</v>
      </c>
      <c r="AC38" s="5">
        <v>50.21</v>
      </c>
      <c r="AD38" s="5">
        <v>357</v>
      </c>
      <c r="AE38" s="5">
        <v>49.79</v>
      </c>
      <c r="AF38" s="5">
        <v>717</v>
      </c>
      <c r="AG38" s="5">
        <v>47.36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7">
        <v>1514</v>
      </c>
    </row>
    <row r="39" spans="2:40">
      <c r="B39" s="5">
        <v>3</v>
      </c>
      <c r="C39" s="6" t="s">
        <v>63</v>
      </c>
      <c r="D39" s="5">
        <v>8</v>
      </c>
      <c r="E39" s="5">
        <v>61.54</v>
      </c>
      <c r="F39" s="5">
        <v>5</v>
      </c>
      <c r="G39" s="5">
        <v>38.46</v>
      </c>
      <c r="H39" s="5">
        <v>13</v>
      </c>
      <c r="I39" s="5">
        <v>4.59</v>
      </c>
      <c r="J39" s="5">
        <v>18</v>
      </c>
      <c r="K39" s="5">
        <v>47.37</v>
      </c>
      <c r="L39" s="5">
        <v>20</v>
      </c>
      <c r="M39" s="5">
        <v>52.63</v>
      </c>
      <c r="N39" s="5">
        <v>38</v>
      </c>
      <c r="O39" s="5">
        <v>13.43</v>
      </c>
      <c r="P39" s="5">
        <v>46</v>
      </c>
      <c r="Q39" s="5">
        <v>59.74</v>
      </c>
      <c r="R39" s="5">
        <v>31</v>
      </c>
      <c r="S39" s="5">
        <v>40.26</v>
      </c>
      <c r="T39" s="5">
        <v>77</v>
      </c>
      <c r="U39" s="5">
        <v>27.21</v>
      </c>
      <c r="V39" s="5">
        <v>41</v>
      </c>
      <c r="W39" s="5">
        <v>50</v>
      </c>
      <c r="X39" s="5">
        <v>41</v>
      </c>
      <c r="Y39" s="5">
        <v>50</v>
      </c>
      <c r="Z39" s="5">
        <v>82</v>
      </c>
      <c r="AA39" s="5">
        <v>28.98</v>
      </c>
      <c r="AB39" s="5">
        <v>30</v>
      </c>
      <c r="AC39" s="5">
        <v>41.1</v>
      </c>
      <c r="AD39" s="5">
        <v>43</v>
      </c>
      <c r="AE39" s="5">
        <v>58.9</v>
      </c>
      <c r="AF39" s="5">
        <v>73</v>
      </c>
      <c r="AG39" s="5">
        <v>25.8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283</v>
      </c>
    </row>
    <row r="40" spans="2:40">
      <c r="B40" s="5">
        <v>4</v>
      </c>
      <c r="C40" s="6" t="s">
        <v>64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</row>
    <row r="41" spans="2:40">
      <c r="B41" s="85" t="s">
        <v>56</v>
      </c>
      <c r="C41" s="86"/>
      <c r="D41" s="8">
        <v>194</v>
      </c>
      <c r="E41" s="8">
        <v>46.08</v>
      </c>
      <c r="F41" s="8">
        <v>227</v>
      </c>
      <c r="G41" s="8">
        <v>53.92</v>
      </c>
      <c r="H41" s="8">
        <v>421</v>
      </c>
      <c r="I41" s="8">
        <v>4.25</v>
      </c>
      <c r="J41" s="8">
        <v>367</v>
      </c>
      <c r="K41" s="8">
        <v>50</v>
      </c>
      <c r="L41" s="8">
        <v>367</v>
      </c>
      <c r="M41" s="8">
        <v>50</v>
      </c>
      <c r="N41" s="8">
        <v>734</v>
      </c>
      <c r="O41" s="8">
        <v>7.4</v>
      </c>
      <c r="P41" s="9">
        <v>1481</v>
      </c>
      <c r="Q41" s="8">
        <v>51.41</v>
      </c>
      <c r="R41" s="9">
        <v>1400</v>
      </c>
      <c r="S41" s="8">
        <v>48.59</v>
      </c>
      <c r="T41" s="9">
        <v>2881</v>
      </c>
      <c r="U41" s="8">
        <v>29.06</v>
      </c>
      <c r="V41" s="9">
        <v>1692</v>
      </c>
      <c r="W41" s="8">
        <v>52.11</v>
      </c>
      <c r="X41" s="9">
        <v>1555</v>
      </c>
      <c r="Y41" s="8">
        <v>47.89</v>
      </c>
      <c r="Z41" s="9">
        <v>3247</v>
      </c>
      <c r="AA41" s="8">
        <v>32.75</v>
      </c>
      <c r="AB41" s="9">
        <v>1172</v>
      </c>
      <c r="AC41" s="8">
        <v>44.55</v>
      </c>
      <c r="AD41" s="9">
        <v>1459</v>
      </c>
      <c r="AE41" s="8">
        <v>55.45</v>
      </c>
      <c r="AF41" s="9">
        <v>2631</v>
      </c>
      <c r="AG41" s="8">
        <v>26.54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9">
        <v>9914</v>
      </c>
    </row>
    <row r="42" spans="2:40"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  <c r="AM42" s="82"/>
      <c r="AN42" s="82"/>
    </row>
    <row r="43" spans="2:40"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</row>
    <row r="44" spans="2:40">
      <c r="B44" s="1" t="s">
        <v>41</v>
      </c>
      <c r="C44" s="1" t="s">
        <v>42</v>
      </c>
      <c r="D44" s="2" t="s">
        <v>43</v>
      </c>
    </row>
    <row r="45" spans="2:40">
      <c r="B45" s="1" t="s">
        <v>44</v>
      </c>
      <c r="C45" s="1" t="s">
        <v>42</v>
      </c>
      <c r="D45" s="2" t="s">
        <v>80</v>
      </c>
    </row>
    <row r="46" spans="2:40">
      <c r="B46" s="1" t="s">
        <v>1</v>
      </c>
      <c r="C46" s="1" t="s">
        <v>42</v>
      </c>
      <c r="D46" s="2" t="s">
        <v>84</v>
      </c>
    </row>
    <row r="47" spans="2:40">
      <c r="B47" s="1" t="s">
        <v>47</v>
      </c>
      <c r="C47" s="1" t="s">
        <v>42</v>
      </c>
      <c r="D47" s="3">
        <v>46184</v>
      </c>
    </row>
    <row r="48" spans="2:40">
      <c r="B48" s="89" t="s">
        <v>48</v>
      </c>
      <c r="C48" s="89" t="s">
        <v>49</v>
      </c>
      <c r="D48" s="83" t="s">
        <v>50</v>
      </c>
      <c r="E48" s="88"/>
      <c r="F48" s="88"/>
      <c r="G48" s="88"/>
      <c r="H48" s="88"/>
      <c r="I48" s="84"/>
      <c r="J48" s="83" t="s">
        <v>51</v>
      </c>
      <c r="K48" s="88"/>
      <c r="L48" s="88"/>
      <c r="M48" s="88"/>
      <c r="N48" s="88"/>
      <c r="O48" s="84"/>
      <c r="P48" s="83" t="s">
        <v>52</v>
      </c>
      <c r="Q48" s="88"/>
      <c r="R48" s="88"/>
      <c r="S48" s="88"/>
      <c r="T48" s="88"/>
      <c r="U48" s="84"/>
      <c r="V48" s="83" t="s">
        <v>53</v>
      </c>
      <c r="W48" s="88"/>
      <c r="X48" s="88"/>
      <c r="Y48" s="88"/>
      <c r="Z48" s="88"/>
      <c r="AA48" s="84"/>
      <c r="AB48" s="83" t="s">
        <v>54</v>
      </c>
      <c r="AC48" s="88"/>
      <c r="AD48" s="88"/>
      <c r="AE48" s="88"/>
      <c r="AF48" s="88"/>
      <c r="AG48" s="84"/>
      <c r="AH48" s="83" t="s">
        <v>55</v>
      </c>
      <c r="AI48" s="88"/>
      <c r="AJ48" s="88"/>
      <c r="AK48" s="88"/>
      <c r="AL48" s="88"/>
      <c r="AM48" s="84"/>
      <c r="AN48" s="89" t="s">
        <v>56</v>
      </c>
    </row>
    <row r="49" spans="2:40">
      <c r="B49" s="90"/>
      <c r="C49" s="90"/>
      <c r="D49" s="83" t="s">
        <v>57</v>
      </c>
      <c r="E49" s="84"/>
      <c r="F49" s="83" t="s">
        <v>58</v>
      </c>
      <c r="G49" s="84"/>
      <c r="H49" s="83" t="s">
        <v>56</v>
      </c>
      <c r="I49" s="84"/>
      <c r="J49" s="83" t="s">
        <v>57</v>
      </c>
      <c r="K49" s="84"/>
      <c r="L49" s="83" t="s">
        <v>58</v>
      </c>
      <c r="M49" s="84"/>
      <c r="N49" s="83" t="s">
        <v>56</v>
      </c>
      <c r="O49" s="84"/>
      <c r="P49" s="83" t="s">
        <v>57</v>
      </c>
      <c r="Q49" s="84"/>
      <c r="R49" s="83" t="s">
        <v>58</v>
      </c>
      <c r="S49" s="84"/>
      <c r="T49" s="83" t="s">
        <v>56</v>
      </c>
      <c r="U49" s="84"/>
      <c r="V49" s="83" t="s">
        <v>57</v>
      </c>
      <c r="W49" s="84"/>
      <c r="X49" s="83" t="s">
        <v>58</v>
      </c>
      <c r="Y49" s="84"/>
      <c r="Z49" s="83" t="s">
        <v>56</v>
      </c>
      <c r="AA49" s="84"/>
      <c r="AB49" s="83" t="s">
        <v>57</v>
      </c>
      <c r="AC49" s="84"/>
      <c r="AD49" s="83" t="s">
        <v>58</v>
      </c>
      <c r="AE49" s="84"/>
      <c r="AF49" s="83" t="s">
        <v>56</v>
      </c>
      <c r="AG49" s="84"/>
      <c r="AH49" s="83" t="s">
        <v>57</v>
      </c>
      <c r="AI49" s="84"/>
      <c r="AJ49" s="83" t="s">
        <v>58</v>
      </c>
      <c r="AK49" s="84"/>
      <c r="AL49" s="83" t="s">
        <v>56</v>
      </c>
      <c r="AM49" s="84"/>
      <c r="AN49" s="90"/>
    </row>
    <row r="50" spans="2:40">
      <c r="B50" s="91"/>
      <c r="C50" s="91"/>
      <c r="D50" s="4" t="s">
        <v>59</v>
      </c>
      <c r="E50" s="4" t="s">
        <v>60</v>
      </c>
      <c r="F50" s="4" t="s">
        <v>59</v>
      </c>
      <c r="G50" s="4" t="s">
        <v>60</v>
      </c>
      <c r="H50" s="4" t="s">
        <v>59</v>
      </c>
      <c r="I50" s="4" t="s">
        <v>60</v>
      </c>
      <c r="J50" s="4" t="s">
        <v>59</v>
      </c>
      <c r="K50" s="4" t="s">
        <v>60</v>
      </c>
      <c r="L50" s="4" t="s">
        <v>59</v>
      </c>
      <c r="M50" s="4" t="s">
        <v>60</v>
      </c>
      <c r="N50" s="4" t="s">
        <v>59</v>
      </c>
      <c r="O50" s="4" t="s">
        <v>60</v>
      </c>
      <c r="P50" s="4" t="s">
        <v>59</v>
      </c>
      <c r="Q50" s="4" t="s">
        <v>60</v>
      </c>
      <c r="R50" s="4" t="s">
        <v>59</v>
      </c>
      <c r="S50" s="4" t="s">
        <v>60</v>
      </c>
      <c r="T50" s="4" t="s">
        <v>59</v>
      </c>
      <c r="U50" s="4" t="s">
        <v>60</v>
      </c>
      <c r="V50" s="4" t="s">
        <v>59</v>
      </c>
      <c r="W50" s="4" t="s">
        <v>60</v>
      </c>
      <c r="X50" s="4" t="s">
        <v>59</v>
      </c>
      <c r="Y50" s="4" t="s">
        <v>60</v>
      </c>
      <c r="Z50" s="4" t="s">
        <v>59</v>
      </c>
      <c r="AA50" s="4" t="s">
        <v>60</v>
      </c>
      <c r="AB50" s="4" t="s">
        <v>59</v>
      </c>
      <c r="AC50" s="4" t="s">
        <v>60</v>
      </c>
      <c r="AD50" s="4" t="s">
        <v>59</v>
      </c>
      <c r="AE50" s="4" t="s">
        <v>60</v>
      </c>
      <c r="AF50" s="4" t="s">
        <v>59</v>
      </c>
      <c r="AG50" s="4" t="s">
        <v>60</v>
      </c>
      <c r="AH50" s="4" t="s">
        <v>59</v>
      </c>
      <c r="AI50" s="4" t="s">
        <v>60</v>
      </c>
      <c r="AJ50" s="4" t="s">
        <v>59</v>
      </c>
      <c r="AK50" s="4" t="s">
        <v>60</v>
      </c>
      <c r="AL50" s="4" t="s">
        <v>59</v>
      </c>
      <c r="AM50" s="4" t="s">
        <v>60</v>
      </c>
      <c r="AN50" s="91"/>
    </row>
    <row r="51" spans="2:40">
      <c r="B51" s="5">
        <v>1</v>
      </c>
      <c r="C51" s="6" t="s">
        <v>61</v>
      </c>
      <c r="D51" s="5">
        <v>273</v>
      </c>
      <c r="E51" s="5">
        <v>52.7</v>
      </c>
      <c r="F51" s="5">
        <v>245</v>
      </c>
      <c r="G51" s="5">
        <v>47.3</v>
      </c>
      <c r="H51" s="5">
        <v>518</v>
      </c>
      <c r="I51" s="5">
        <v>4.33</v>
      </c>
      <c r="J51" s="5">
        <v>600</v>
      </c>
      <c r="K51" s="5">
        <v>54.6</v>
      </c>
      <c r="L51" s="5">
        <v>499</v>
      </c>
      <c r="M51" s="5">
        <v>45.4</v>
      </c>
      <c r="N51" s="7">
        <v>1099</v>
      </c>
      <c r="O51" s="5">
        <v>9.18</v>
      </c>
      <c r="P51" s="7">
        <v>2032</v>
      </c>
      <c r="Q51" s="5">
        <v>50.72</v>
      </c>
      <c r="R51" s="7">
        <v>1974</v>
      </c>
      <c r="S51" s="5">
        <v>49.28</v>
      </c>
      <c r="T51" s="7">
        <v>4006</v>
      </c>
      <c r="U51" s="5">
        <v>33.46</v>
      </c>
      <c r="V51" s="7">
        <v>1888</v>
      </c>
      <c r="W51" s="5">
        <v>51.08</v>
      </c>
      <c r="X51" s="7">
        <v>1808</v>
      </c>
      <c r="Y51" s="5">
        <v>48.92</v>
      </c>
      <c r="Z51" s="7">
        <v>3696</v>
      </c>
      <c r="AA51" s="5">
        <v>30.87</v>
      </c>
      <c r="AB51" s="7">
        <v>1156</v>
      </c>
      <c r="AC51" s="5">
        <v>43.54</v>
      </c>
      <c r="AD51" s="7">
        <v>1499</v>
      </c>
      <c r="AE51" s="5">
        <v>56.46</v>
      </c>
      <c r="AF51" s="7">
        <v>2655</v>
      </c>
      <c r="AG51" s="5">
        <v>22.17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7">
        <v>11974</v>
      </c>
    </row>
    <row r="52" spans="2:40">
      <c r="B52" s="5">
        <v>2</v>
      </c>
      <c r="C52" s="6" t="s">
        <v>62</v>
      </c>
      <c r="D52" s="5">
        <v>100</v>
      </c>
      <c r="E52" s="5">
        <v>57.47</v>
      </c>
      <c r="F52" s="5">
        <v>74</v>
      </c>
      <c r="G52" s="5">
        <v>42.53</v>
      </c>
      <c r="H52" s="5">
        <v>174</v>
      </c>
      <c r="I52" s="5">
        <v>3.79</v>
      </c>
      <c r="J52" s="5">
        <v>158</v>
      </c>
      <c r="K52" s="5">
        <v>50.64</v>
      </c>
      <c r="L52" s="5">
        <v>154</v>
      </c>
      <c r="M52" s="5">
        <v>49.36</v>
      </c>
      <c r="N52" s="5">
        <v>312</v>
      </c>
      <c r="O52" s="5">
        <v>6.8</v>
      </c>
      <c r="P52" s="5">
        <v>684</v>
      </c>
      <c r="Q52" s="5">
        <v>51.82</v>
      </c>
      <c r="R52" s="5">
        <v>636</v>
      </c>
      <c r="S52" s="5">
        <v>48.18</v>
      </c>
      <c r="T52" s="7">
        <v>1320</v>
      </c>
      <c r="U52" s="5">
        <v>28.79</v>
      </c>
      <c r="V52" s="5">
        <v>707</v>
      </c>
      <c r="W52" s="5">
        <v>49.72</v>
      </c>
      <c r="X52" s="5">
        <v>715</v>
      </c>
      <c r="Y52" s="5">
        <v>50.28</v>
      </c>
      <c r="Z52" s="7">
        <v>1422</v>
      </c>
      <c r="AA52" s="5">
        <v>31.01</v>
      </c>
      <c r="AB52" s="5">
        <v>651</v>
      </c>
      <c r="AC52" s="5">
        <v>47.97</v>
      </c>
      <c r="AD52" s="5">
        <v>706</v>
      </c>
      <c r="AE52" s="5">
        <v>52.03</v>
      </c>
      <c r="AF52" s="7">
        <v>1357</v>
      </c>
      <c r="AG52" s="5">
        <v>29.6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7">
        <v>4585</v>
      </c>
    </row>
    <row r="53" spans="2:40">
      <c r="B53" s="5">
        <v>3</v>
      </c>
      <c r="C53" s="6" t="s">
        <v>63</v>
      </c>
      <c r="D53" s="5">
        <v>21</v>
      </c>
      <c r="E53" s="5">
        <v>42.86</v>
      </c>
      <c r="F53" s="5">
        <v>28</v>
      </c>
      <c r="G53" s="5">
        <v>57.14</v>
      </c>
      <c r="H53" s="5">
        <v>49</v>
      </c>
      <c r="I53" s="5">
        <v>3.49</v>
      </c>
      <c r="J53" s="5">
        <v>54</v>
      </c>
      <c r="K53" s="5">
        <v>53.47</v>
      </c>
      <c r="L53" s="5">
        <v>47</v>
      </c>
      <c r="M53" s="5">
        <v>46.53</v>
      </c>
      <c r="N53" s="5">
        <v>101</v>
      </c>
      <c r="O53" s="5">
        <v>7.2</v>
      </c>
      <c r="P53" s="5">
        <v>240</v>
      </c>
      <c r="Q53" s="5">
        <v>48.39</v>
      </c>
      <c r="R53" s="5">
        <v>256</v>
      </c>
      <c r="S53" s="5">
        <v>51.61</v>
      </c>
      <c r="T53" s="5">
        <v>496</v>
      </c>
      <c r="U53" s="5">
        <v>35.35</v>
      </c>
      <c r="V53" s="5">
        <v>179</v>
      </c>
      <c r="W53" s="5">
        <v>43.77</v>
      </c>
      <c r="X53" s="5">
        <v>230</v>
      </c>
      <c r="Y53" s="5">
        <v>56.23</v>
      </c>
      <c r="Z53" s="5">
        <v>409</v>
      </c>
      <c r="AA53" s="5">
        <v>29.15</v>
      </c>
      <c r="AB53" s="5">
        <v>158</v>
      </c>
      <c r="AC53" s="5">
        <v>45.4</v>
      </c>
      <c r="AD53" s="5">
        <v>190</v>
      </c>
      <c r="AE53" s="5">
        <v>54.6</v>
      </c>
      <c r="AF53" s="5">
        <v>348</v>
      </c>
      <c r="AG53" s="5">
        <v>24.8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7">
        <v>1403</v>
      </c>
    </row>
    <row r="54" spans="2:40">
      <c r="B54" s="5">
        <v>4</v>
      </c>
      <c r="C54" s="6" t="s">
        <v>64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</v>
      </c>
      <c r="Q54" s="5">
        <v>100</v>
      </c>
      <c r="R54" s="5">
        <v>0</v>
      </c>
      <c r="S54" s="5">
        <v>0</v>
      </c>
      <c r="T54" s="5">
        <v>1</v>
      </c>
      <c r="U54" s="5">
        <v>100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1</v>
      </c>
    </row>
    <row r="55" spans="2:40">
      <c r="B55" s="85" t="s">
        <v>56</v>
      </c>
      <c r="C55" s="86"/>
      <c r="D55" s="8">
        <v>394</v>
      </c>
      <c r="E55" s="8">
        <v>53.17</v>
      </c>
      <c r="F55" s="8">
        <v>347</v>
      </c>
      <c r="G55" s="8">
        <v>46.83</v>
      </c>
      <c r="H55" s="8">
        <v>741</v>
      </c>
      <c r="I55" s="8">
        <v>4.13</v>
      </c>
      <c r="J55" s="8">
        <v>812</v>
      </c>
      <c r="K55" s="8">
        <v>53.7</v>
      </c>
      <c r="L55" s="8">
        <v>700</v>
      </c>
      <c r="M55" s="8">
        <v>46.3</v>
      </c>
      <c r="N55" s="9">
        <v>1512</v>
      </c>
      <c r="O55" s="8">
        <v>8.42</v>
      </c>
      <c r="P55" s="9">
        <v>2957</v>
      </c>
      <c r="Q55" s="8">
        <v>50.78</v>
      </c>
      <c r="R55" s="9">
        <v>2866</v>
      </c>
      <c r="S55" s="8">
        <v>49.22</v>
      </c>
      <c r="T55" s="9">
        <v>5823</v>
      </c>
      <c r="U55" s="8">
        <v>32.42</v>
      </c>
      <c r="V55" s="9">
        <v>2774</v>
      </c>
      <c r="W55" s="8">
        <v>50.19</v>
      </c>
      <c r="X55" s="9">
        <v>2753</v>
      </c>
      <c r="Y55" s="8">
        <v>49.81</v>
      </c>
      <c r="Z55" s="9">
        <v>5527</v>
      </c>
      <c r="AA55" s="8">
        <v>30.77</v>
      </c>
      <c r="AB55" s="9">
        <v>1965</v>
      </c>
      <c r="AC55" s="8">
        <v>45.07</v>
      </c>
      <c r="AD55" s="9">
        <v>2395</v>
      </c>
      <c r="AE55" s="8">
        <v>54.93</v>
      </c>
      <c r="AF55" s="9">
        <v>4360</v>
      </c>
      <c r="AG55" s="8">
        <v>24.27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9">
        <v>17963</v>
      </c>
    </row>
    <row r="56" spans="2:40"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</row>
    <row r="57" spans="2:40"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</row>
    <row r="58" spans="2:40">
      <c r="B58" s="1" t="s">
        <v>41</v>
      </c>
      <c r="C58" s="1" t="s">
        <v>42</v>
      </c>
      <c r="D58" s="2" t="s">
        <v>43</v>
      </c>
    </row>
    <row r="59" spans="2:40">
      <c r="B59" s="1" t="s">
        <v>44</v>
      </c>
      <c r="C59" s="1" t="s">
        <v>42</v>
      </c>
      <c r="D59" s="2" t="s">
        <v>80</v>
      </c>
    </row>
    <row r="60" spans="2:40">
      <c r="B60" s="1" t="s">
        <v>1</v>
      </c>
      <c r="C60" s="1" t="s">
        <v>42</v>
      </c>
      <c r="D60" s="2" t="s">
        <v>85</v>
      </c>
    </row>
    <row r="61" spans="2:40">
      <c r="B61" s="1" t="s">
        <v>47</v>
      </c>
      <c r="C61" s="1" t="s">
        <v>42</v>
      </c>
      <c r="D61" s="3">
        <v>46184</v>
      </c>
    </row>
    <row r="62" spans="2:40">
      <c r="B62" s="89" t="s">
        <v>48</v>
      </c>
      <c r="C62" s="89" t="s">
        <v>49</v>
      </c>
      <c r="D62" s="83" t="s">
        <v>50</v>
      </c>
      <c r="E62" s="88"/>
      <c r="F62" s="88"/>
      <c r="G62" s="88"/>
      <c r="H62" s="88"/>
      <c r="I62" s="84"/>
      <c r="J62" s="83" t="s">
        <v>51</v>
      </c>
      <c r="K62" s="88"/>
      <c r="L62" s="88"/>
      <c r="M62" s="88"/>
      <c r="N62" s="88"/>
      <c r="O62" s="84"/>
      <c r="P62" s="83" t="s">
        <v>52</v>
      </c>
      <c r="Q62" s="88"/>
      <c r="R62" s="88"/>
      <c r="S62" s="88"/>
      <c r="T62" s="88"/>
      <c r="U62" s="84"/>
      <c r="V62" s="83" t="s">
        <v>53</v>
      </c>
      <c r="W62" s="88"/>
      <c r="X62" s="88"/>
      <c r="Y62" s="88"/>
      <c r="Z62" s="88"/>
      <c r="AA62" s="84"/>
      <c r="AB62" s="83" t="s">
        <v>54</v>
      </c>
      <c r="AC62" s="88"/>
      <c r="AD62" s="88"/>
      <c r="AE62" s="88"/>
      <c r="AF62" s="88"/>
      <c r="AG62" s="84"/>
      <c r="AH62" s="83" t="s">
        <v>55</v>
      </c>
      <c r="AI62" s="88"/>
      <c r="AJ62" s="88"/>
      <c r="AK62" s="88"/>
      <c r="AL62" s="88"/>
      <c r="AM62" s="84"/>
      <c r="AN62" s="89" t="s">
        <v>56</v>
      </c>
    </row>
    <row r="63" spans="2:40">
      <c r="B63" s="90"/>
      <c r="C63" s="90"/>
      <c r="D63" s="83" t="s">
        <v>57</v>
      </c>
      <c r="E63" s="84"/>
      <c r="F63" s="83" t="s">
        <v>58</v>
      </c>
      <c r="G63" s="84"/>
      <c r="H63" s="83" t="s">
        <v>56</v>
      </c>
      <c r="I63" s="84"/>
      <c r="J63" s="83" t="s">
        <v>57</v>
      </c>
      <c r="K63" s="84"/>
      <c r="L63" s="83" t="s">
        <v>58</v>
      </c>
      <c r="M63" s="84"/>
      <c r="N63" s="83" t="s">
        <v>56</v>
      </c>
      <c r="O63" s="84"/>
      <c r="P63" s="83" t="s">
        <v>57</v>
      </c>
      <c r="Q63" s="84"/>
      <c r="R63" s="83" t="s">
        <v>58</v>
      </c>
      <c r="S63" s="84"/>
      <c r="T63" s="83" t="s">
        <v>56</v>
      </c>
      <c r="U63" s="84"/>
      <c r="V63" s="83" t="s">
        <v>57</v>
      </c>
      <c r="W63" s="84"/>
      <c r="X63" s="83" t="s">
        <v>58</v>
      </c>
      <c r="Y63" s="84"/>
      <c r="Z63" s="83" t="s">
        <v>56</v>
      </c>
      <c r="AA63" s="84"/>
      <c r="AB63" s="83" t="s">
        <v>57</v>
      </c>
      <c r="AC63" s="84"/>
      <c r="AD63" s="83" t="s">
        <v>58</v>
      </c>
      <c r="AE63" s="84"/>
      <c r="AF63" s="83" t="s">
        <v>56</v>
      </c>
      <c r="AG63" s="84"/>
      <c r="AH63" s="83" t="s">
        <v>57</v>
      </c>
      <c r="AI63" s="84"/>
      <c r="AJ63" s="83" t="s">
        <v>58</v>
      </c>
      <c r="AK63" s="84"/>
      <c r="AL63" s="83" t="s">
        <v>56</v>
      </c>
      <c r="AM63" s="84"/>
      <c r="AN63" s="90"/>
    </row>
    <row r="64" spans="2:40">
      <c r="B64" s="91"/>
      <c r="C64" s="91"/>
      <c r="D64" s="4" t="s">
        <v>59</v>
      </c>
      <c r="E64" s="4" t="s">
        <v>60</v>
      </c>
      <c r="F64" s="4" t="s">
        <v>59</v>
      </c>
      <c r="G64" s="4" t="s">
        <v>60</v>
      </c>
      <c r="H64" s="4" t="s">
        <v>59</v>
      </c>
      <c r="I64" s="4" t="s">
        <v>60</v>
      </c>
      <c r="J64" s="4" t="s">
        <v>59</v>
      </c>
      <c r="K64" s="4" t="s">
        <v>60</v>
      </c>
      <c r="L64" s="4" t="s">
        <v>59</v>
      </c>
      <c r="M64" s="4" t="s">
        <v>60</v>
      </c>
      <c r="N64" s="4" t="s">
        <v>59</v>
      </c>
      <c r="O64" s="4" t="s">
        <v>60</v>
      </c>
      <c r="P64" s="4" t="s">
        <v>59</v>
      </c>
      <c r="Q64" s="4" t="s">
        <v>60</v>
      </c>
      <c r="R64" s="4" t="s">
        <v>59</v>
      </c>
      <c r="S64" s="4" t="s">
        <v>60</v>
      </c>
      <c r="T64" s="4" t="s">
        <v>59</v>
      </c>
      <c r="U64" s="4" t="s">
        <v>60</v>
      </c>
      <c r="V64" s="4" t="s">
        <v>59</v>
      </c>
      <c r="W64" s="4" t="s">
        <v>60</v>
      </c>
      <c r="X64" s="4" t="s">
        <v>59</v>
      </c>
      <c r="Y64" s="4" t="s">
        <v>60</v>
      </c>
      <c r="Z64" s="4" t="s">
        <v>59</v>
      </c>
      <c r="AA64" s="4" t="s">
        <v>60</v>
      </c>
      <c r="AB64" s="4" t="s">
        <v>59</v>
      </c>
      <c r="AC64" s="4" t="s">
        <v>60</v>
      </c>
      <c r="AD64" s="4" t="s">
        <v>59</v>
      </c>
      <c r="AE64" s="4" t="s">
        <v>60</v>
      </c>
      <c r="AF64" s="4" t="s">
        <v>59</v>
      </c>
      <c r="AG64" s="4" t="s">
        <v>60</v>
      </c>
      <c r="AH64" s="4" t="s">
        <v>59</v>
      </c>
      <c r="AI64" s="4" t="s">
        <v>60</v>
      </c>
      <c r="AJ64" s="4" t="s">
        <v>59</v>
      </c>
      <c r="AK64" s="4" t="s">
        <v>60</v>
      </c>
      <c r="AL64" s="4" t="s">
        <v>59</v>
      </c>
      <c r="AM64" s="4" t="s">
        <v>60</v>
      </c>
      <c r="AN64" s="91"/>
    </row>
    <row r="65" spans="2:40">
      <c r="B65" s="5">
        <v>1</v>
      </c>
      <c r="C65" s="6" t="s">
        <v>61</v>
      </c>
      <c r="D65" s="5">
        <v>192</v>
      </c>
      <c r="E65" s="5">
        <v>49.74</v>
      </c>
      <c r="F65" s="5">
        <v>194</v>
      </c>
      <c r="G65" s="5">
        <v>50.26</v>
      </c>
      <c r="H65" s="5">
        <v>386</v>
      </c>
      <c r="I65" s="5">
        <v>3.98</v>
      </c>
      <c r="J65" s="5">
        <v>452</v>
      </c>
      <c r="K65" s="5">
        <v>50.73</v>
      </c>
      <c r="L65" s="5">
        <v>439</v>
      </c>
      <c r="M65" s="5">
        <v>49.27</v>
      </c>
      <c r="N65" s="5">
        <v>891</v>
      </c>
      <c r="O65" s="5">
        <v>9.18</v>
      </c>
      <c r="P65" s="7">
        <v>1539</v>
      </c>
      <c r="Q65" s="5">
        <v>51.84</v>
      </c>
      <c r="R65" s="7">
        <v>1430</v>
      </c>
      <c r="S65" s="5">
        <v>48.16</v>
      </c>
      <c r="T65" s="7">
        <v>2969</v>
      </c>
      <c r="U65" s="5">
        <v>30.58</v>
      </c>
      <c r="V65" s="7">
        <v>1695</v>
      </c>
      <c r="W65" s="5">
        <v>50.18</v>
      </c>
      <c r="X65" s="7">
        <v>1683</v>
      </c>
      <c r="Y65" s="5">
        <v>49.82</v>
      </c>
      <c r="Z65" s="7">
        <v>3378</v>
      </c>
      <c r="AA65" s="5">
        <v>34.79</v>
      </c>
      <c r="AB65" s="5">
        <v>900</v>
      </c>
      <c r="AC65" s="5">
        <v>43.14</v>
      </c>
      <c r="AD65" s="7">
        <v>1186</v>
      </c>
      <c r="AE65" s="5">
        <v>56.86</v>
      </c>
      <c r="AF65" s="7">
        <v>2086</v>
      </c>
      <c r="AG65" s="5">
        <v>21.48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7">
        <v>9710</v>
      </c>
    </row>
    <row r="66" spans="2:40">
      <c r="B66" s="5">
        <v>2</v>
      </c>
      <c r="C66" s="6" t="s">
        <v>62</v>
      </c>
      <c r="D66" s="5">
        <v>22</v>
      </c>
      <c r="E66" s="5">
        <v>44.9</v>
      </c>
      <c r="F66" s="5">
        <v>27</v>
      </c>
      <c r="G66" s="5">
        <v>55.1</v>
      </c>
      <c r="H66" s="5">
        <v>49</v>
      </c>
      <c r="I66" s="5">
        <v>2.4500000000000002</v>
      </c>
      <c r="J66" s="5">
        <v>65</v>
      </c>
      <c r="K66" s="5">
        <v>55.56</v>
      </c>
      <c r="L66" s="5">
        <v>52</v>
      </c>
      <c r="M66" s="5">
        <v>44.44</v>
      </c>
      <c r="N66" s="5">
        <v>117</v>
      </c>
      <c r="O66" s="5">
        <v>5.85</v>
      </c>
      <c r="P66" s="5">
        <v>263</v>
      </c>
      <c r="Q66" s="5">
        <v>57.8</v>
      </c>
      <c r="R66" s="5">
        <v>192</v>
      </c>
      <c r="S66" s="5">
        <v>42.2</v>
      </c>
      <c r="T66" s="5">
        <v>455</v>
      </c>
      <c r="U66" s="5">
        <v>22.76</v>
      </c>
      <c r="V66" s="5">
        <v>385</v>
      </c>
      <c r="W66" s="5">
        <v>57.12</v>
      </c>
      <c r="X66" s="5">
        <v>289</v>
      </c>
      <c r="Y66" s="5">
        <v>42.88</v>
      </c>
      <c r="Z66" s="5">
        <v>674</v>
      </c>
      <c r="AA66" s="5">
        <v>33.72</v>
      </c>
      <c r="AB66" s="5">
        <v>368</v>
      </c>
      <c r="AC66" s="5">
        <v>52.27</v>
      </c>
      <c r="AD66" s="5">
        <v>336</v>
      </c>
      <c r="AE66" s="5">
        <v>47.73</v>
      </c>
      <c r="AF66" s="5">
        <v>704</v>
      </c>
      <c r="AG66" s="5">
        <v>35.22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7">
        <v>1999</v>
      </c>
    </row>
    <row r="67" spans="2:40">
      <c r="B67" s="5">
        <v>3</v>
      </c>
      <c r="C67" s="6" t="s">
        <v>63</v>
      </c>
      <c r="D67" s="5">
        <v>12</v>
      </c>
      <c r="E67" s="5">
        <v>42.86</v>
      </c>
      <c r="F67" s="5">
        <v>16</v>
      </c>
      <c r="G67" s="5">
        <v>57.14</v>
      </c>
      <c r="H67" s="5">
        <v>28</v>
      </c>
      <c r="I67" s="5">
        <v>4.3099999999999996</v>
      </c>
      <c r="J67" s="5">
        <v>33</v>
      </c>
      <c r="K67" s="5">
        <v>53.23</v>
      </c>
      <c r="L67" s="5">
        <v>29</v>
      </c>
      <c r="M67" s="5">
        <v>46.77</v>
      </c>
      <c r="N67" s="5">
        <v>62</v>
      </c>
      <c r="O67" s="5">
        <v>9.5399999999999991</v>
      </c>
      <c r="P67" s="5">
        <v>107</v>
      </c>
      <c r="Q67" s="5">
        <v>53.5</v>
      </c>
      <c r="R67" s="5">
        <v>93</v>
      </c>
      <c r="S67" s="5">
        <v>46.5</v>
      </c>
      <c r="T67" s="5">
        <v>200</v>
      </c>
      <c r="U67" s="5">
        <v>30.77</v>
      </c>
      <c r="V67" s="5">
        <v>111</v>
      </c>
      <c r="W67" s="5">
        <v>48.05</v>
      </c>
      <c r="X67" s="5">
        <v>120</v>
      </c>
      <c r="Y67" s="5">
        <v>51.95</v>
      </c>
      <c r="Z67" s="5">
        <v>231</v>
      </c>
      <c r="AA67" s="5">
        <v>35.54</v>
      </c>
      <c r="AB67" s="5">
        <v>62</v>
      </c>
      <c r="AC67" s="5">
        <v>48.06</v>
      </c>
      <c r="AD67" s="5">
        <v>67</v>
      </c>
      <c r="AE67" s="5">
        <v>51.94</v>
      </c>
      <c r="AF67" s="5">
        <v>129</v>
      </c>
      <c r="AG67" s="5">
        <v>19.850000000000001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650</v>
      </c>
    </row>
    <row r="68" spans="2:40">
      <c r="B68" s="5">
        <v>4</v>
      </c>
      <c r="C68" s="6" t="s">
        <v>64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</row>
    <row r="69" spans="2:40">
      <c r="B69" s="85" t="s">
        <v>56</v>
      </c>
      <c r="C69" s="86"/>
      <c r="D69" s="8">
        <v>226</v>
      </c>
      <c r="E69" s="8">
        <v>48.81</v>
      </c>
      <c r="F69" s="8">
        <v>237</v>
      </c>
      <c r="G69" s="8">
        <v>51.19</v>
      </c>
      <c r="H69" s="8">
        <v>463</v>
      </c>
      <c r="I69" s="8">
        <v>3.75</v>
      </c>
      <c r="J69" s="8">
        <v>550</v>
      </c>
      <c r="K69" s="8">
        <v>51.4</v>
      </c>
      <c r="L69" s="8">
        <v>520</v>
      </c>
      <c r="M69" s="8">
        <v>48.6</v>
      </c>
      <c r="N69" s="9">
        <v>1070</v>
      </c>
      <c r="O69" s="8">
        <v>8.66</v>
      </c>
      <c r="P69" s="9">
        <v>1909</v>
      </c>
      <c r="Q69" s="8">
        <v>52.68</v>
      </c>
      <c r="R69" s="9">
        <v>1715</v>
      </c>
      <c r="S69" s="8">
        <v>47.32</v>
      </c>
      <c r="T69" s="9">
        <v>3624</v>
      </c>
      <c r="U69" s="8">
        <v>29.32</v>
      </c>
      <c r="V69" s="9">
        <v>2191</v>
      </c>
      <c r="W69" s="8">
        <v>51.16</v>
      </c>
      <c r="X69" s="9">
        <v>2092</v>
      </c>
      <c r="Y69" s="8">
        <v>48.84</v>
      </c>
      <c r="Z69" s="9">
        <v>4283</v>
      </c>
      <c r="AA69" s="8">
        <v>34.65</v>
      </c>
      <c r="AB69" s="9">
        <v>1330</v>
      </c>
      <c r="AC69" s="8">
        <v>45.56</v>
      </c>
      <c r="AD69" s="9">
        <v>1589</v>
      </c>
      <c r="AE69" s="8">
        <v>54.44</v>
      </c>
      <c r="AF69" s="9">
        <v>2919</v>
      </c>
      <c r="AG69" s="8">
        <v>23.62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9">
        <v>12359</v>
      </c>
    </row>
    <row r="70" spans="2:40"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  <c r="AM70" s="82"/>
      <c r="AN70" s="82"/>
    </row>
  </sheetData>
  <mergeCells count="149">
    <mergeCell ref="AB6:AG6"/>
    <mergeCell ref="AH6:AM6"/>
    <mergeCell ref="AN6:AN8"/>
    <mergeCell ref="D7:E7"/>
    <mergeCell ref="F7:G7"/>
    <mergeCell ref="H7:I7"/>
    <mergeCell ref="J7:K7"/>
    <mergeCell ref="L7:M7"/>
    <mergeCell ref="N7:O7"/>
    <mergeCell ref="P7:Q7"/>
    <mergeCell ref="D6:I6"/>
    <mergeCell ref="J6:O6"/>
    <mergeCell ref="P6:U6"/>
    <mergeCell ref="V6:AA6"/>
    <mergeCell ref="R7:S7"/>
    <mergeCell ref="T7:U7"/>
    <mergeCell ref="V7:W7"/>
    <mergeCell ref="X7:Y7"/>
    <mergeCell ref="AL7:AM7"/>
    <mergeCell ref="B13:C13"/>
    <mergeCell ref="B20:B22"/>
    <mergeCell ref="C20:C22"/>
    <mergeCell ref="D20:I20"/>
    <mergeCell ref="J20:O20"/>
    <mergeCell ref="P20:U20"/>
    <mergeCell ref="V20:AA20"/>
    <mergeCell ref="AB20:AG20"/>
    <mergeCell ref="AH20:AM20"/>
    <mergeCell ref="Z7:AA7"/>
    <mergeCell ref="AB7:AC7"/>
    <mergeCell ref="AD7:AE7"/>
    <mergeCell ref="AF7:AG7"/>
    <mergeCell ref="AH7:AI7"/>
    <mergeCell ref="AJ7:AK7"/>
    <mergeCell ref="B6:B8"/>
    <mergeCell ref="C6:C8"/>
    <mergeCell ref="AN20:AN22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AH21:AI21"/>
    <mergeCell ref="AJ21:AK21"/>
    <mergeCell ref="AL21:AM21"/>
    <mergeCell ref="B27:C27"/>
    <mergeCell ref="B34:B36"/>
    <mergeCell ref="C34:C36"/>
    <mergeCell ref="D34:I34"/>
    <mergeCell ref="J34:O34"/>
    <mergeCell ref="P34:U34"/>
    <mergeCell ref="V34:AA34"/>
    <mergeCell ref="V21:W21"/>
    <mergeCell ref="X21:Y21"/>
    <mergeCell ref="Z21:AA21"/>
    <mergeCell ref="AB21:AC21"/>
    <mergeCell ref="AD21:AE21"/>
    <mergeCell ref="AF21:AG21"/>
    <mergeCell ref="AB34:AG34"/>
    <mergeCell ref="AH34:AM34"/>
    <mergeCell ref="AN34:AN36"/>
    <mergeCell ref="D35:E35"/>
    <mergeCell ref="F35:G35"/>
    <mergeCell ref="H35:I35"/>
    <mergeCell ref="J35:K35"/>
    <mergeCell ref="L35:M35"/>
    <mergeCell ref="N35:O35"/>
    <mergeCell ref="P35:Q35"/>
    <mergeCell ref="AD35:AE35"/>
    <mergeCell ref="AF35:AG35"/>
    <mergeCell ref="AH35:AI35"/>
    <mergeCell ref="AJ35:AK35"/>
    <mergeCell ref="AL35:AM35"/>
    <mergeCell ref="B41:C41"/>
    <mergeCell ref="R35:S35"/>
    <mergeCell ref="T35:U35"/>
    <mergeCell ref="V35:W35"/>
    <mergeCell ref="X35:Y35"/>
    <mergeCell ref="Z35:AA35"/>
    <mergeCell ref="AB35:AC35"/>
    <mergeCell ref="AB48:AG48"/>
    <mergeCell ref="AH48:AM48"/>
    <mergeCell ref="AN48:AN50"/>
    <mergeCell ref="D49:E49"/>
    <mergeCell ref="F49:G49"/>
    <mergeCell ref="H49:I49"/>
    <mergeCell ref="J49:K49"/>
    <mergeCell ref="L49:M49"/>
    <mergeCell ref="N49:O49"/>
    <mergeCell ref="P49:Q49"/>
    <mergeCell ref="D48:I48"/>
    <mergeCell ref="J48:O48"/>
    <mergeCell ref="P48:U48"/>
    <mergeCell ref="V48:AA48"/>
    <mergeCell ref="R49:S49"/>
    <mergeCell ref="T49:U49"/>
    <mergeCell ref="V49:W49"/>
    <mergeCell ref="X49:Y49"/>
    <mergeCell ref="L63:M63"/>
    <mergeCell ref="N63:O63"/>
    <mergeCell ref="P63:Q63"/>
    <mergeCell ref="R63:S63"/>
    <mergeCell ref="T63:U63"/>
    <mergeCell ref="AL49:AM49"/>
    <mergeCell ref="B55:C55"/>
    <mergeCell ref="B62:B64"/>
    <mergeCell ref="C62:C64"/>
    <mergeCell ref="D62:I62"/>
    <mergeCell ref="J62:O62"/>
    <mergeCell ref="P62:U62"/>
    <mergeCell ref="V62:AA62"/>
    <mergeCell ref="AB62:AG62"/>
    <mergeCell ref="AH62:AM62"/>
    <mergeCell ref="Z49:AA49"/>
    <mergeCell ref="AB49:AC49"/>
    <mergeCell ref="AD49:AE49"/>
    <mergeCell ref="AF49:AG49"/>
    <mergeCell ref="AH49:AI49"/>
    <mergeCell ref="AJ49:AK49"/>
    <mergeCell ref="B48:B50"/>
    <mergeCell ref="C48:C50"/>
    <mergeCell ref="B56:AN56"/>
    <mergeCell ref="B57:AN57"/>
    <mergeCell ref="B70:AN70"/>
    <mergeCell ref="AH63:AI63"/>
    <mergeCell ref="AJ63:AK63"/>
    <mergeCell ref="AL63:AM63"/>
    <mergeCell ref="B69:C69"/>
    <mergeCell ref="B14:AN14"/>
    <mergeCell ref="B15:AN15"/>
    <mergeCell ref="B28:AN28"/>
    <mergeCell ref="B29:AN29"/>
    <mergeCell ref="B42:AN42"/>
    <mergeCell ref="B43:AN43"/>
    <mergeCell ref="V63:W63"/>
    <mergeCell ref="X63:Y63"/>
    <mergeCell ref="Z63:AA63"/>
    <mergeCell ref="AB63:AC63"/>
    <mergeCell ref="AD63:AE63"/>
    <mergeCell ref="AF63:AG63"/>
    <mergeCell ref="AN62:AN64"/>
    <mergeCell ref="D63:E63"/>
    <mergeCell ref="F63:G63"/>
    <mergeCell ref="H63:I63"/>
    <mergeCell ref="J63:K6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BA295-B1F8-49BE-8132-B2C0A603EDB3}">
  <dimension ref="B2:AN70"/>
  <sheetViews>
    <sheetView topLeftCell="S56" workbookViewId="0">
      <selection activeCell="K30" sqref="K30"/>
    </sheetView>
  </sheetViews>
  <sheetFormatPr defaultRowHeight="14.5"/>
  <sheetData>
    <row r="2" spans="2:40">
      <c r="B2" s="1" t="s">
        <v>41</v>
      </c>
      <c r="C2" s="1" t="s">
        <v>42</v>
      </c>
      <c r="D2" s="2" t="s">
        <v>43</v>
      </c>
    </row>
    <row r="3" spans="2:40">
      <c r="B3" s="1" t="s">
        <v>44</v>
      </c>
      <c r="C3" s="1" t="s">
        <v>42</v>
      </c>
      <c r="D3" s="2" t="s">
        <v>86</v>
      </c>
    </row>
    <row r="4" spans="2:40">
      <c r="B4" s="1" t="s">
        <v>1</v>
      </c>
      <c r="C4" s="1" t="s">
        <v>42</v>
      </c>
      <c r="D4" s="2" t="s">
        <v>87</v>
      </c>
    </row>
    <row r="5" spans="2:40">
      <c r="B5" s="1" t="s">
        <v>47</v>
      </c>
      <c r="C5" s="1" t="s">
        <v>42</v>
      </c>
      <c r="D5" s="3">
        <v>46184</v>
      </c>
    </row>
    <row r="6" spans="2:40">
      <c r="B6" s="89" t="s">
        <v>48</v>
      </c>
      <c r="C6" s="89" t="s">
        <v>49</v>
      </c>
      <c r="D6" s="83" t="s">
        <v>50</v>
      </c>
      <c r="E6" s="88"/>
      <c r="F6" s="88"/>
      <c r="G6" s="88"/>
      <c r="H6" s="88"/>
      <c r="I6" s="84"/>
      <c r="J6" s="83" t="s">
        <v>51</v>
      </c>
      <c r="K6" s="88"/>
      <c r="L6" s="88"/>
      <c r="M6" s="88"/>
      <c r="N6" s="88"/>
      <c r="O6" s="84"/>
      <c r="P6" s="83" t="s">
        <v>52</v>
      </c>
      <c r="Q6" s="88"/>
      <c r="R6" s="88"/>
      <c r="S6" s="88"/>
      <c r="T6" s="88"/>
      <c r="U6" s="84"/>
      <c r="V6" s="83" t="s">
        <v>53</v>
      </c>
      <c r="W6" s="88"/>
      <c r="X6" s="88"/>
      <c r="Y6" s="88"/>
      <c r="Z6" s="88"/>
      <c r="AA6" s="84"/>
      <c r="AB6" s="83" t="s">
        <v>54</v>
      </c>
      <c r="AC6" s="88"/>
      <c r="AD6" s="88"/>
      <c r="AE6" s="88"/>
      <c r="AF6" s="88"/>
      <c r="AG6" s="84"/>
      <c r="AH6" s="83" t="s">
        <v>55</v>
      </c>
      <c r="AI6" s="88"/>
      <c r="AJ6" s="88"/>
      <c r="AK6" s="88"/>
      <c r="AL6" s="88"/>
      <c r="AM6" s="84"/>
      <c r="AN6" s="89" t="s">
        <v>56</v>
      </c>
    </row>
    <row r="7" spans="2:40">
      <c r="B7" s="90"/>
      <c r="C7" s="90"/>
      <c r="D7" s="83" t="s">
        <v>57</v>
      </c>
      <c r="E7" s="84"/>
      <c r="F7" s="83" t="s">
        <v>58</v>
      </c>
      <c r="G7" s="84"/>
      <c r="H7" s="83" t="s">
        <v>56</v>
      </c>
      <c r="I7" s="84"/>
      <c r="J7" s="83" t="s">
        <v>57</v>
      </c>
      <c r="K7" s="84"/>
      <c r="L7" s="83" t="s">
        <v>58</v>
      </c>
      <c r="M7" s="84"/>
      <c r="N7" s="83" t="s">
        <v>56</v>
      </c>
      <c r="O7" s="84"/>
      <c r="P7" s="83" t="s">
        <v>57</v>
      </c>
      <c r="Q7" s="84"/>
      <c r="R7" s="83" t="s">
        <v>58</v>
      </c>
      <c r="S7" s="84"/>
      <c r="T7" s="83" t="s">
        <v>56</v>
      </c>
      <c r="U7" s="84"/>
      <c r="V7" s="83" t="s">
        <v>57</v>
      </c>
      <c r="W7" s="84"/>
      <c r="X7" s="83" t="s">
        <v>58</v>
      </c>
      <c r="Y7" s="84"/>
      <c r="Z7" s="83" t="s">
        <v>56</v>
      </c>
      <c r="AA7" s="84"/>
      <c r="AB7" s="83" t="s">
        <v>57</v>
      </c>
      <c r="AC7" s="84"/>
      <c r="AD7" s="83" t="s">
        <v>58</v>
      </c>
      <c r="AE7" s="84"/>
      <c r="AF7" s="83" t="s">
        <v>56</v>
      </c>
      <c r="AG7" s="84"/>
      <c r="AH7" s="83" t="s">
        <v>57</v>
      </c>
      <c r="AI7" s="84"/>
      <c r="AJ7" s="83" t="s">
        <v>58</v>
      </c>
      <c r="AK7" s="84"/>
      <c r="AL7" s="83" t="s">
        <v>56</v>
      </c>
      <c r="AM7" s="84"/>
      <c r="AN7" s="90"/>
    </row>
    <row r="8" spans="2:40">
      <c r="B8" s="91"/>
      <c r="C8" s="91"/>
      <c r="D8" s="4" t="s">
        <v>59</v>
      </c>
      <c r="E8" s="4" t="s">
        <v>60</v>
      </c>
      <c r="F8" s="4" t="s">
        <v>59</v>
      </c>
      <c r="G8" s="4" t="s">
        <v>60</v>
      </c>
      <c r="H8" s="4" t="s">
        <v>59</v>
      </c>
      <c r="I8" s="4" t="s">
        <v>60</v>
      </c>
      <c r="J8" s="4" t="s">
        <v>59</v>
      </c>
      <c r="K8" s="4" t="s">
        <v>60</v>
      </c>
      <c r="L8" s="4" t="s">
        <v>59</v>
      </c>
      <c r="M8" s="4" t="s">
        <v>60</v>
      </c>
      <c r="N8" s="4" t="s">
        <v>59</v>
      </c>
      <c r="O8" s="4" t="s">
        <v>60</v>
      </c>
      <c r="P8" s="4" t="s">
        <v>59</v>
      </c>
      <c r="Q8" s="4" t="s">
        <v>60</v>
      </c>
      <c r="R8" s="4" t="s">
        <v>59</v>
      </c>
      <c r="S8" s="4" t="s">
        <v>60</v>
      </c>
      <c r="T8" s="4" t="s">
        <v>59</v>
      </c>
      <c r="U8" s="4" t="s">
        <v>60</v>
      </c>
      <c r="V8" s="4" t="s">
        <v>59</v>
      </c>
      <c r="W8" s="4" t="s">
        <v>60</v>
      </c>
      <c r="X8" s="4" t="s">
        <v>59</v>
      </c>
      <c r="Y8" s="4" t="s">
        <v>60</v>
      </c>
      <c r="Z8" s="4" t="s">
        <v>59</v>
      </c>
      <c r="AA8" s="4" t="s">
        <v>60</v>
      </c>
      <c r="AB8" s="4" t="s">
        <v>59</v>
      </c>
      <c r="AC8" s="4" t="s">
        <v>60</v>
      </c>
      <c r="AD8" s="4" t="s">
        <v>59</v>
      </c>
      <c r="AE8" s="4" t="s">
        <v>60</v>
      </c>
      <c r="AF8" s="4" t="s">
        <v>59</v>
      </c>
      <c r="AG8" s="4" t="s">
        <v>60</v>
      </c>
      <c r="AH8" s="4" t="s">
        <v>59</v>
      </c>
      <c r="AI8" s="4" t="s">
        <v>60</v>
      </c>
      <c r="AJ8" s="4" t="s">
        <v>59</v>
      </c>
      <c r="AK8" s="4" t="s">
        <v>60</v>
      </c>
      <c r="AL8" s="4" t="s">
        <v>59</v>
      </c>
      <c r="AM8" s="4" t="s">
        <v>60</v>
      </c>
      <c r="AN8" s="91"/>
    </row>
    <row r="9" spans="2:40">
      <c r="B9" s="5">
        <v>1</v>
      </c>
      <c r="C9" s="6" t="s">
        <v>61</v>
      </c>
      <c r="D9" s="7">
        <v>1008</v>
      </c>
      <c r="E9" s="5">
        <v>50.76</v>
      </c>
      <c r="F9" s="5">
        <v>978</v>
      </c>
      <c r="G9" s="5">
        <v>49.24</v>
      </c>
      <c r="H9" s="7">
        <v>1986</v>
      </c>
      <c r="I9" s="5">
        <v>7.7</v>
      </c>
      <c r="J9" s="7">
        <v>2136</v>
      </c>
      <c r="K9" s="5">
        <v>51.24</v>
      </c>
      <c r="L9" s="7">
        <v>2033</v>
      </c>
      <c r="M9" s="5">
        <v>48.76</v>
      </c>
      <c r="N9" s="7">
        <v>4169</v>
      </c>
      <c r="O9" s="5">
        <v>16.16</v>
      </c>
      <c r="P9" s="7">
        <v>4505</v>
      </c>
      <c r="Q9" s="5">
        <v>50.44</v>
      </c>
      <c r="R9" s="7">
        <v>4427</v>
      </c>
      <c r="S9" s="5">
        <v>49.56</v>
      </c>
      <c r="T9" s="7">
        <v>8932</v>
      </c>
      <c r="U9" s="5">
        <v>34.61</v>
      </c>
      <c r="V9" s="7">
        <v>3579</v>
      </c>
      <c r="W9" s="5">
        <v>48.23</v>
      </c>
      <c r="X9" s="7">
        <v>3841</v>
      </c>
      <c r="Y9" s="5">
        <v>51.77</v>
      </c>
      <c r="Z9" s="7">
        <v>7420</v>
      </c>
      <c r="AA9" s="5">
        <v>28.76</v>
      </c>
      <c r="AB9" s="7">
        <v>1539</v>
      </c>
      <c r="AC9" s="5">
        <v>46.68</v>
      </c>
      <c r="AD9" s="7">
        <v>1758</v>
      </c>
      <c r="AE9" s="5">
        <v>53.32</v>
      </c>
      <c r="AF9" s="7">
        <v>3297</v>
      </c>
      <c r="AG9" s="5">
        <v>12.78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7">
        <v>25804</v>
      </c>
    </row>
    <row r="10" spans="2:40">
      <c r="B10" s="5">
        <v>2</v>
      </c>
      <c r="C10" s="6" t="s">
        <v>62</v>
      </c>
      <c r="D10" s="5">
        <v>74</v>
      </c>
      <c r="E10" s="5">
        <v>52.11</v>
      </c>
      <c r="F10" s="5">
        <v>68</v>
      </c>
      <c r="G10" s="5">
        <v>47.89</v>
      </c>
      <c r="H10" s="5">
        <v>142</v>
      </c>
      <c r="I10" s="5">
        <v>5.09</v>
      </c>
      <c r="J10" s="5">
        <v>136</v>
      </c>
      <c r="K10" s="5">
        <v>50.94</v>
      </c>
      <c r="L10" s="5">
        <v>131</v>
      </c>
      <c r="M10" s="5">
        <v>49.06</v>
      </c>
      <c r="N10" s="5">
        <v>267</v>
      </c>
      <c r="O10" s="5">
        <v>9.57</v>
      </c>
      <c r="P10" s="5">
        <v>421</v>
      </c>
      <c r="Q10" s="5">
        <v>54.75</v>
      </c>
      <c r="R10" s="5">
        <v>348</v>
      </c>
      <c r="S10" s="5">
        <v>45.25</v>
      </c>
      <c r="T10" s="5">
        <v>769</v>
      </c>
      <c r="U10" s="5">
        <v>27.57</v>
      </c>
      <c r="V10" s="5">
        <v>451</v>
      </c>
      <c r="W10" s="5">
        <v>50.06</v>
      </c>
      <c r="X10" s="5">
        <v>450</v>
      </c>
      <c r="Y10" s="5">
        <v>49.94</v>
      </c>
      <c r="Z10" s="5">
        <v>901</v>
      </c>
      <c r="AA10" s="5">
        <v>32.31</v>
      </c>
      <c r="AB10" s="5">
        <v>351</v>
      </c>
      <c r="AC10" s="5">
        <v>49.44</v>
      </c>
      <c r="AD10" s="5">
        <v>359</v>
      </c>
      <c r="AE10" s="5">
        <v>50.56</v>
      </c>
      <c r="AF10" s="5">
        <v>710</v>
      </c>
      <c r="AG10" s="5">
        <v>25.46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7">
        <v>2789</v>
      </c>
    </row>
    <row r="11" spans="2:40">
      <c r="B11" s="5">
        <v>3</v>
      </c>
      <c r="C11" s="6" t="s">
        <v>63</v>
      </c>
      <c r="D11" s="5">
        <v>97</v>
      </c>
      <c r="E11" s="5">
        <v>50.52</v>
      </c>
      <c r="F11" s="5">
        <v>95</v>
      </c>
      <c r="G11" s="5">
        <v>49.48</v>
      </c>
      <c r="H11" s="5">
        <v>192</v>
      </c>
      <c r="I11" s="5">
        <v>4.82</v>
      </c>
      <c r="J11" s="5">
        <v>220</v>
      </c>
      <c r="K11" s="5">
        <v>52.38</v>
      </c>
      <c r="L11" s="5">
        <v>200</v>
      </c>
      <c r="M11" s="5">
        <v>47.62</v>
      </c>
      <c r="N11" s="5">
        <v>420</v>
      </c>
      <c r="O11" s="5">
        <v>10.55</v>
      </c>
      <c r="P11" s="5">
        <v>700</v>
      </c>
      <c r="Q11" s="5">
        <v>54.1</v>
      </c>
      <c r="R11" s="5">
        <v>594</v>
      </c>
      <c r="S11" s="5">
        <v>45.9</v>
      </c>
      <c r="T11" s="7">
        <v>1294</v>
      </c>
      <c r="U11" s="5">
        <v>32.5</v>
      </c>
      <c r="V11" s="5">
        <v>639</v>
      </c>
      <c r="W11" s="5">
        <v>48.15</v>
      </c>
      <c r="X11" s="5">
        <v>688</v>
      </c>
      <c r="Y11" s="5">
        <v>51.85</v>
      </c>
      <c r="Z11" s="7">
        <v>1327</v>
      </c>
      <c r="AA11" s="5">
        <v>33.32</v>
      </c>
      <c r="AB11" s="5">
        <v>326</v>
      </c>
      <c r="AC11" s="5">
        <v>43.52</v>
      </c>
      <c r="AD11" s="5">
        <v>423</v>
      </c>
      <c r="AE11" s="5">
        <v>56.48</v>
      </c>
      <c r="AF11" s="5">
        <v>749</v>
      </c>
      <c r="AG11" s="5">
        <v>18.809999999999999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7">
        <v>3982</v>
      </c>
    </row>
    <row r="12" spans="2:40">
      <c r="B12" s="5">
        <v>4</v>
      </c>
      <c r="C12" s="6" t="s">
        <v>64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</row>
    <row r="13" spans="2:40">
      <c r="B13" s="85" t="s">
        <v>56</v>
      </c>
      <c r="C13" s="86"/>
      <c r="D13" s="9">
        <v>1179</v>
      </c>
      <c r="E13" s="8">
        <v>50.82</v>
      </c>
      <c r="F13" s="9">
        <v>1141</v>
      </c>
      <c r="G13" s="8">
        <v>49.18</v>
      </c>
      <c r="H13" s="9">
        <v>2320</v>
      </c>
      <c r="I13" s="8">
        <v>7.12</v>
      </c>
      <c r="J13" s="9">
        <v>2492</v>
      </c>
      <c r="K13" s="8">
        <v>51.32</v>
      </c>
      <c r="L13" s="9">
        <v>2364</v>
      </c>
      <c r="M13" s="8">
        <v>48.68</v>
      </c>
      <c r="N13" s="9">
        <v>4856</v>
      </c>
      <c r="O13" s="8">
        <v>14.91</v>
      </c>
      <c r="P13" s="9">
        <v>5626</v>
      </c>
      <c r="Q13" s="8">
        <v>51.17</v>
      </c>
      <c r="R13" s="9">
        <v>5369</v>
      </c>
      <c r="S13" s="8">
        <v>48.83</v>
      </c>
      <c r="T13" s="9">
        <v>10995</v>
      </c>
      <c r="U13" s="8">
        <v>33.75</v>
      </c>
      <c r="V13" s="9">
        <v>4669</v>
      </c>
      <c r="W13" s="8">
        <v>48.39</v>
      </c>
      <c r="X13" s="9">
        <v>4979</v>
      </c>
      <c r="Y13" s="8">
        <v>51.61</v>
      </c>
      <c r="Z13" s="9">
        <v>9648</v>
      </c>
      <c r="AA13" s="8">
        <v>29.62</v>
      </c>
      <c r="AB13" s="9">
        <v>2216</v>
      </c>
      <c r="AC13" s="8">
        <v>46.59</v>
      </c>
      <c r="AD13" s="9">
        <v>2540</v>
      </c>
      <c r="AE13" s="8">
        <v>53.41</v>
      </c>
      <c r="AF13" s="9">
        <v>4756</v>
      </c>
      <c r="AG13" s="8">
        <v>14.6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9">
        <v>32575</v>
      </c>
    </row>
    <row r="14" spans="2:40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</row>
    <row r="15" spans="2:40"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</row>
    <row r="16" spans="2:40">
      <c r="B16" s="1" t="s">
        <v>41</v>
      </c>
      <c r="C16" s="1" t="s">
        <v>42</v>
      </c>
      <c r="D16" s="2" t="s">
        <v>43</v>
      </c>
    </row>
    <row r="17" spans="2:40">
      <c r="B17" s="1" t="s">
        <v>44</v>
      </c>
      <c r="C17" s="1" t="s">
        <v>42</v>
      </c>
      <c r="D17" s="2" t="s">
        <v>86</v>
      </c>
    </row>
    <row r="18" spans="2:40">
      <c r="B18" s="1" t="s">
        <v>1</v>
      </c>
      <c r="C18" s="1" t="s">
        <v>42</v>
      </c>
      <c r="D18" s="2" t="s">
        <v>88</v>
      </c>
    </row>
    <row r="19" spans="2:40">
      <c r="B19" s="1" t="s">
        <v>47</v>
      </c>
      <c r="C19" s="1" t="s">
        <v>42</v>
      </c>
      <c r="D19" s="3">
        <v>46184</v>
      </c>
    </row>
    <row r="20" spans="2:40">
      <c r="B20" s="89" t="s">
        <v>48</v>
      </c>
      <c r="C20" s="89" t="s">
        <v>49</v>
      </c>
      <c r="D20" s="83" t="s">
        <v>50</v>
      </c>
      <c r="E20" s="88"/>
      <c r="F20" s="88"/>
      <c r="G20" s="88"/>
      <c r="H20" s="88"/>
      <c r="I20" s="84"/>
      <c r="J20" s="83" t="s">
        <v>51</v>
      </c>
      <c r="K20" s="88"/>
      <c r="L20" s="88"/>
      <c r="M20" s="88"/>
      <c r="N20" s="88"/>
      <c r="O20" s="84"/>
      <c r="P20" s="83" t="s">
        <v>52</v>
      </c>
      <c r="Q20" s="88"/>
      <c r="R20" s="88"/>
      <c r="S20" s="88"/>
      <c r="T20" s="88"/>
      <c r="U20" s="84"/>
      <c r="V20" s="83" t="s">
        <v>53</v>
      </c>
      <c r="W20" s="88"/>
      <c r="X20" s="88"/>
      <c r="Y20" s="88"/>
      <c r="Z20" s="88"/>
      <c r="AA20" s="84"/>
      <c r="AB20" s="83" t="s">
        <v>54</v>
      </c>
      <c r="AC20" s="88"/>
      <c r="AD20" s="88"/>
      <c r="AE20" s="88"/>
      <c r="AF20" s="88"/>
      <c r="AG20" s="84"/>
      <c r="AH20" s="83" t="s">
        <v>55</v>
      </c>
      <c r="AI20" s="88"/>
      <c r="AJ20" s="88"/>
      <c r="AK20" s="88"/>
      <c r="AL20" s="88"/>
      <c r="AM20" s="84"/>
      <c r="AN20" s="89" t="s">
        <v>56</v>
      </c>
    </row>
    <row r="21" spans="2:40">
      <c r="B21" s="90"/>
      <c r="C21" s="90"/>
      <c r="D21" s="83" t="s">
        <v>57</v>
      </c>
      <c r="E21" s="84"/>
      <c r="F21" s="83" t="s">
        <v>58</v>
      </c>
      <c r="G21" s="84"/>
      <c r="H21" s="83" t="s">
        <v>56</v>
      </c>
      <c r="I21" s="84"/>
      <c r="J21" s="83" t="s">
        <v>57</v>
      </c>
      <c r="K21" s="84"/>
      <c r="L21" s="83" t="s">
        <v>58</v>
      </c>
      <c r="M21" s="84"/>
      <c r="N21" s="83" t="s">
        <v>56</v>
      </c>
      <c r="O21" s="84"/>
      <c r="P21" s="83" t="s">
        <v>57</v>
      </c>
      <c r="Q21" s="84"/>
      <c r="R21" s="83" t="s">
        <v>58</v>
      </c>
      <c r="S21" s="84"/>
      <c r="T21" s="83" t="s">
        <v>56</v>
      </c>
      <c r="U21" s="84"/>
      <c r="V21" s="83" t="s">
        <v>57</v>
      </c>
      <c r="W21" s="84"/>
      <c r="X21" s="83" t="s">
        <v>58</v>
      </c>
      <c r="Y21" s="84"/>
      <c r="Z21" s="83" t="s">
        <v>56</v>
      </c>
      <c r="AA21" s="84"/>
      <c r="AB21" s="83" t="s">
        <v>57</v>
      </c>
      <c r="AC21" s="84"/>
      <c r="AD21" s="83" t="s">
        <v>58</v>
      </c>
      <c r="AE21" s="84"/>
      <c r="AF21" s="83" t="s">
        <v>56</v>
      </c>
      <c r="AG21" s="84"/>
      <c r="AH21" s="83" t="s">
        <v>57</v>
      </c>
      <c r="AI21" s="84"/>
      <c r="AJ21" s="83" t="s">
        <v>58</v>
      </c>
      <c r="AK21" s="84"/>
      <c r="AL21" s="83" t="s">
        <v>56</v>
      </c>
      <c r="AM21" s="84"/>
      <c r="AN21" s="90"/>
    </row>
    <row r="22" spans="2:40">
      <c r="B22" s="91"/>
      <c r="C22" s="91"/>
      <c r="D22" s="4" t="s">
        <v>59</v>
      </c>
      <c r="E22" s="4" t="s">
        <v>60</v>
      </c>
      <c r="F22" s="4" t="s">
        <v>59</v>
      </c>
      <c r="G22" s="4" t="s">
        <v>60</v>
      </c>
      <c r="H22" s="4" t="s">
        <v>59</v>
      </c>
      <c r="I22" s="4" t="s">
        <v>60</v>
      </c>
      <c r="J22" s="4" t="s">
        <v>59</v>
      </c>
      <c r="K22" s="4" t="s">
        <v>60</v>
      </c>
      <c r="L22" s="4" t="s">
        <v>59</v>
      </c>
      <c r="M22" s="4" t="s">
        <v>60</v>
      </c>
      <c r="N22" s="4" t="s">
        <v>59</v>
      </c>
      <c r="O22" s="4" t="s">
        <v>60</v>
      </c>
      <c r="P22" s="4" t="s">
        <v>59</v>
      </c>
      <c r="Q22" s="4" t="s">
        <v>60</v>
      </c>
      <c r="R22" s="4" t="s">
        <v>59</v>
      </c>
      <c r="S22" s="4" t="s">
        <v>60</v>
      </c>
      <c r="T22" s="4" t="s">
        <v>59</v>
      </c>
      <c r="U22" s="4" t="s">
        <v>60</v>
      </c>
      <c r="V22" s="4" t="s">
        <v>59</v>
      </c>
      <c r="W22" s="4" t="s">
        <v>60</v>
      </c>
      <c r="X22" s="4" t="s">
        <v>59</v>
      </c>
      <c r="Y22" s="4" t="s">
        <v>60</v>
      </c>
      <c r="Z22" s="4" t="s">
        <v>59</v>
      </c>
      <c r="AA22" s="4" t="s">
        <v>60</v>
      </c>
      <c r="AB22" s="4" t="s">
        <v>59</v>
      </c>
      <c r="AC22" s="4" t="s">
        <v>60</v>
      </c>
      <c r="AD22" s="4" t="s">
        <v>59</v>
      </c>
      <c r="AE22" s="4" t="s">
        <v>60</v>
      </c>
      <c r="AF22" s="4" t="s">
        <v>59</v>
      </c>
      <c r="AG22" s="4" t="s">
        <v>60</v>
      </c>
      <c r="AH22" s="4" t="s">
        <v>59</v>
      </c>
      <c r="AI22" s="4" t="s">
        <v>60</v>
      </c>
      <c r="AJ22" s="4" t="s">
        <v>59</v>
      </c>
      <c r="AK22" s="4" t="s">
        <v>60</v>
      </c>
      <c r="AL22" s="4" t="s">
        <v>59</v>
      </c>
      <c r="AM22" s="4" t="s">
        <v>60</v>
      </c>
      <c r="AN22" s="91"/>
    </row>
    <row r="23" spans="2:40">
      <c r="B23" s="5">
        <v>1</v>
      </c>
      <c r="C23" s="6" t="s">
        <v>61</v>
      </c>
      <c r="D23" s="5">
        <v>719</v>
      </c>
      <c r="E23" s="5">
        <v>50.56</v>
      </c>
      <c r="F23" s="5">
        <v>703</v>
      </c>
      <c r="G23" s="5">
        <v>49.44</v>
      </c>
      <c r="H23" s="7">
        <v>1422</v>
      </c>
      <c r="I23" s="5">
        <v>9.6999999999999993</v>
      </c>
      <c r="J23" s="7">
        <v>1346</v>
      </c>
      <c r="K23" s="5">
        <v>49.74</v>
      </c>
      <c r="L23" s="7">
        <v>1360</v>
      </c>
      <c r="M23" s="5">
        <v>50.26</v>
      </c>
      <c r="N23" s="7">
        <v>2706</v>
      </c>
      <c r="O23" s="5">
        <v>18.46</v>
      </c>
      <c r="P23" s="7">
        <v>2887</v>
      </c>
      <c r="Q23" s="5">
        <v>50.7</v>
      </c>
      <c r="R23" s="7">
        <v>2807</v>
      </c>
      <c r="S23" s="5">
        <v>49.3</v>
      </c>
      <c r="T23" s="7">
        <v>5694</v>
      </c>
      <c r="U23" s="5">
        <v>38.85</v>
      </c>
      <c r="V23" s="7">
        <v>1591</v>
      </c>
      <c r="W23" s="5">
        <v>46.49</v>
      </c>
      <c r="X23" s="7">
        <v>1831</v>
      </c>
      <c r="Y23" s="5">
        <v>53.51</v>
      </c>
      <c r="Z23" s="7">
        <v>3422</v>
      </c>
      <c r="AA23" s="5">
        <v>23.35</v>
      </c>
      <c r="AB23" s="5">
        <v>706</v>
      </c>
      <c r="AC23" s="5">
        <v>50.04</v>
      </c>
      <c r="AD23" s="5">
        <v>705</v>
      </c>
      <c r="AE23" s="5">
        <v>49.96</v>
      </c>
      <c r="AF23" s="7">
        <v>1411</v>
      </c>
      <c r="AG23" s="5">
        <v>9.6300000000000008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7">
        <v>14655</v>
      </c>
    </row>
    <row r="24" spans="2:40">
      <c r="B24" s="5">
        <v>2</v>
      </c>
      <c r="C24" s="6" t="s">
        <v>62</v>
      </c>
      <c r="D24" s="5">
        <v>782</v>
      </c>
      <c r="E24" s="5">
        <v>52.24</v>
      </c>
      <c r="F24" s="5">
        <v>715</v>
      </c>
      <c r="G24" s="5">
        <v>47.76</v>
      </c>
      <c r="H24" s="7">
        <v>1497</v>
      </c>
      <c r="I24" s="5">
        <v>5.99</v>
      </c>
      <c r="J24" s="7">
        <v>1496</v>
      </c>
      <c r="K24" s="5">
        <v>53.35</v>
      </c>
      <c r="L24" s="7">
        <v>1308</v>
      </c>
      <c r="M24" s="5">
        <v>46.65</v>
      </c>
      <c r="N24" s="7">
        <v>2804</v>
      </c>
      <c r="O24" s="5">
        <v>11.23</v>
      </c>
      <c r="P24" s="7">
        <v>3756</v>
      </c>
      <c r="Q24" s="5">
        <v>51.35</v>
      </c>
      <c r="R24" s="7">
        <v>3558</v>
      </c>
      <c r="S24" s="5">
        <v>48.65</v>
      </c>
      <c r="T24" s="7">
        <v>7314</v>
      </c>
      <c r="U24" s="5">
        <v>29.29</v>
      </c>
      <c r="V24" s="7">
        <v>3596</v>
      </c>
      <c r="W24" s="5">
        <v>48.94</v>
      </c>
      <c r="X24" s="7">
        <v>3752</v>
      </c>
      <c r="Y24" s="5">
        <v>51.06</v>
      </c>
      <c r="Z24" s="7">
        <v>7348</v>
      </c>
      <c r="AA24" s="5">
        <v>29.42</v>
      </c>
      <c r="AB24" s="7">
        <v>2794</v>
      </c>
      <c r="AC24" s="5">
        <v>46.49</v>
      </c>
      <c r="AD24" s="7">
        <v>3216</v>
      </c>
      <c r="AE24" s="5">
        <v>53.51</v>
      </c>
      <c r="AF24" s="7">
        <v>6010</v>
      </c>
      <c r="AG24" s="5">
        <v>24.07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7">
        <v>24973</v>
      </c>
    </row>
    <row r="25" spans="2:40">
      <c r="B25" s="5">
        <v>3</v>
      </c>
      <c r="C25" s="6" t="s">
        <v>63</v>
      </c>
      <c r="D25" s="5">
        <v>228</v>
      </c>
      <c r="E25" s="5">
        <v>50.22</v>
      </c>
      <c r="F25" s="5">
        <v>226</v>
      </c>
      <c r="G25" s="5">
        <v>49.78</v>
      </c>
      <c r="H25" s="5">
        <v>454</v>
      </c>
      <c r="I25" s="5">
        <v>4.74</v>
      </c>
      <c r="J25" s="5">
        <v>541</v>
      </c>
      <c r="K25" s="5">
        <v>52.27</v>
      </c>
      <c r="L25" s="5">
        <v>494</v>
      </c>
      <c r="M25" s="5">
        <v>47.73</v>
      </c>
      <c r="N25" s="7">
        <v>1035</v>
      </c>
      <c r="O25" s="5">
        <v>10.81</v>
      </c>
      <c r="P25" s="7">
        <v>1563</v>
      </c>
      <c r="Q25" s="5">
        <v>48.72</v>
      </c>
      <c r="R25" s="7">
        <v>1645</v>
      </c>
      <c r="S25" s="5">
        <v>51.28</v>
      </c>
      <c r="T25" s="7">
        <v>3208</v>
      </c>
      <c r="U25" s="5">
        <v>33.51</v>
      </c>
      <c r="V25" s="7">
        <v>1339</v>
      </c>
      <c r="W25" s="5">
        <v>46.77</v>
      </c>
      <c r="X25" s="7">
        <v>1524</v>
      </c>
      <c r="Y25" s="5">
        <v>53.23</v>
      </c>
      <c r="Z25" s="7">
        <v>2863</v>
      </c>
      <c r="AA25" s="5">
        <v>29.91</v>
      </c>
      <c r="AB25" s="5">
        <v>972</v>
      </c>
      <c r="AC25" s="5">
        <v>48.29</v>
      </c>
      <c r="AD25" s="7">
        <v>1041</v>
      </c>
      <c r="AE25" s="5">
        <v>51.71</v>
      </c>
      <c r="AF25" s="7">
        <v>2013</v>
      </c>
      <c r="AG25" s="5">
        <v>21.03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7">
        <v>9573</v>
      </c>
    </row>
    <row r="26" spans="2:40">
      <c r="B26" s="5">
        <v>4</v>
      </c>
      <c r="C26" s="6" t="s">
        <v>64</v>
      </c>
      <c r="D26" s="5">
        <v>2</v>
      </c>
      <c r="E26" s="5">
        <v>33.33</v>
      </c>
      <c r="F26" s="5">
        <v>4</v>
      </c>
      <c r="G26" s="5">
        <v>66.67</v>
      </c>
      <c r="H26" s="5">
        <v>6</v>
      </c>
      <c r="I26" s="5">
        <v>12.77</v>
      </c>
      <c r="J26" s="5">
        <v>6</v>
      </c>
      <c r="K26" s="5">
        <v>60</v>
      </c>
      <c r="L26" s="5">
        <v>4</v>
      </c>
      <c r="M26" s="5">
        <v>40</v>
      </c>
      <c r="N26" s="5">
        <v>10</v>
      </c>
      <c r="O26" s="5">
        <v>21.28</v>
      </c>
      <c r="P26" s="5">
        <v>15</v>
      </c>
      <c r="Q26" s="5">
        <v>62.5</v>
      </c>
      <c r="R26" s="5">
        <v>9</v>
      </c>
      <c r="S26" s="5">
        <v>37.5</v>
      </c>
      <c r="T26" s="5">
        <v>24</v>
      </c>
      <c r="U26" s="5">
        <v>51.06</v>
      </c>
      <c r="V26" s="5">
        <v>2</v>
      </c>
      <c r="W26" s="5">
        <v>66.67</v>
      </c>
      <c r="X26" s="5">
        <v>1</v>
      </c>
      <c r="Y26" s="5">
        <v>33.33</v>
      </c>
      <c r="Z26" s="5">
        <v>3</v>
      </c>
      <c r="AA26" s="5">
        <v>6.38</v>
      </c>
      <c r="AB26" s="5">
        <v>2</v>
      </c>
      <c r="AC26" s="5">
        <v>50</v>
      </c>
      <c r="AD26" s="5">
        <v>2</v>
      </c>
      <c r="AE26" s="5">
        <v>50</v>
      </c>
      <c r="AF26" s="5">
        <v>4</v>
      </c>
      <c r="AG26" s="5">
        <v>8.51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47</v>
      </c>
    </row>
    <row r="27" spans="2:40">
      <c r="B27" s="85" t="s">
        <v>56</v>
      </c>
      <c r="C27" s="86"/>
      <c r="D27" s="9">
        <v>1731</v>
      </c>
      <c r="E27" s="8">
        <v>51.23</v>
      </c>
      <c r="F27" s="9">
        <v>1648</v>
      </c>
      <c r="G27" s="8">
        <v>48.77</v>
      </c>
      <c r="H27" s="9">
        <v>3379</v>
      </c>
      <c r="I27" s="8">
        <v>6.86</v>
      </c>
      <c r="J27" s="9">
        <v>3389</v>
      </c>
      <c r="K27" s="8">
        <v>51.7</v>
      </c>
      <c r="L27" s="9">
        <v>3166</v>
      </c>
      <c r="M27" s="8">
        <v>48.3</v>
      </c>
      <c r="N27" s="9">
        <v>6555</v>
      </c>
      <c r="O27" s="8">
        <v>13.31</v>
      </c>
      <c r="P27" s="9">
        <v>8221</v>
      </c>
      <c r="Q27" s="8">
        <v>50.62</v>
      </c>
      <c r="R27" s="9">
        <v>8019</v>
      </c>
      <c r="S27" s="8">
        <v>49.38</v>
      </c>
      <c r="T27" s="9">
        <v>16240</v>
      </c>
      <c r="U27" s="8">
        <v>32.979999999999997</v>
      </c>
      <c r="V27" s="9">
        <v>6528</v>
      </c>
      <c r="W27" s="8">
        <v>47.87</v>
      </c>
      <c r="X27" s="9">
        <v>7108</v>
      </c>
      <c r="Y27" s="8">
        <v>52.13</v>
      </c>
      <c r="Z27" s="9">
        <v>13636</v>
      </c>
      <c r="AA27" s="8">
        <v>27.69</v>
      </c>
      <c r="AB27" s="9">
        <v>4474</v>
      </c>
      <c r="AC27" s="8">
        <v>47.4</v>
      </c>
      <c r="AD27" s="9">
        <v>4964</v>
      </c>
      <c r="AE27" s="8">
        <v>52.6</v>
      </c>
      <c r="AF27" s="9">
        <v>9438</v>
      </c>
      <c r="AG27" s="8">
        <v>19.16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9">
        <v>49248</v>
      </c>
    </row>
    <row r="28" spans="2:40"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</row>
    <row r="29" spans="2:40"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</row>
    <row r="30" spans="2:40">
      <c r="B30" s="1" t="s">
        <v>41</v>
      </c>
      <c r="C30" s="1" t="s">
        <v>42</v>
      </c>
      <c r="D30" s="2" t="s">
        <v>43</v>
      </c>
    </row>
    <row r="31" spans="2:40">
      <c r="B31" s="1" t="s">
        <v>44</v>
      </c>
      <c r="C31" s="1" t="s">
        <v>42</v>
      </c>
      <c r="D31" s="2" t="s">
        <v>86</v>
      </c>
    </row>
    <row r="32" spans="2:40">
      <c r="B32" s="1" t="s">
        <v>1</v>
      </c>
      <c r="C32" s="1" t="s">
        <v>42</v>
      </c>
      <c r="D32" s="2" t="s">
        <v>89</v>
      </c>
    </row>
    <row r="33" spans="2:40">
      <c r="B33" s="1" t="s">
        <v>47</v>
      </c>
      <c r="C33" s="1" t="s">
        <v>42</v>
      </c>
      <c r="D33" s="3">
        <v>46184</v>
      </c>
    </row>
    <row r="34" spans="2:40">
      <c r="B34" s="89" t="s">
        <v>48</v>
      </c>
      <c r="C34" s="89" t="s">
        <v>49</v>
      </c>
      <c r="D34" s="83" t="s">
        <v>50</v>
      </c>
      <c r="E34" s="88"/>
      <c r="F34" s="88"/>
      <c r="G34" s="88"/>
      <c r="H34" s="88"/>
      <c r="I34" s="84"/>
      <c r="J34" s="83" t="s">
        <v>51</v>
      </c>
      <c r="K34" s="88"/>
      <c r="L34" s="88"/>
      <c r="M34" s="88"/>
      <c r="N34" s="88"/>
      <c r="O34" s="84"/>
      <c r="P34" s="83" t="s">
        <v>52</v>
      </c>
      <c r="Q34" s="88"/>
      <c r="R34" s="88"/>
      <c r="S34" s="88"/>
      <c r="T34" s="88"/>
      <c r="U34" s="84"/>
      <c r="V34" s="83" t="s">
        <v>53</v>
      </c>
      <c r="W34" s="88"/>
      <c r="X34" s="88"/>
      <c r="Y34" s="88"/>
      <c r="Z34" s="88"/>
      <c r="AA34" s="84"/>
      <c r="AB34" s="83" t="s">
        <v>54</v>
      </c>
      <c r="AC34" s="88"/>
      <c r="AD34" s="88"/>
      <c r="AE34" s="88"/>
      <c r="AF34" s="88"/>
      <c r="AG34" s="84"/>
      <c r="AH34" s="83" t="s">
        <v>55</v>
      </c>
      <c r="AI34" s="88"/>
      <c r="AJ34" s="88"/>
      <c r="AK34" s="88"/>
      <c r="AL34" s="88"/>
      <c r="AM34" s="84"/>
      <c r="AN34" s="89" t="s">
        <v>56</v>
      </c>
    </row>
    <row r="35" spans="2:40">
      <c r="B35" s="90"/>
      <c r="C35" s="90"/>
      <c r="D35" s="83" t="s">
        <v>57</v>
      </c>
      <c r="E35" s="84"/>
      <c r="F35" s="83" t="s">
        <v>58</v>
      </c>
      <c r="G35" s="84"/>
      <c r="H35" s="83" t="s">
        <v>56</v>
      </c>
      <c r="I35" s="84"/>
      <c r="J35" s="83" t="s">
        <v>57</v>
      </c>
      <c r="K35" s="84"/>
      <c r="L35" s="83" t="s">
        <v>58</v>
      </c>
      <c r="M35" s="84"/>
      <c r="N35" s="83" t="s">
        <v>56</v>
      </c>
      <c r="O35" s="84"/>
      <c r="P35" s="83" t="s">
        <v>57</v>
      </c>
      <c r="Q35" s="84"/>
      <c r="R35" s="83" t="s">
        <v>58</v>
      </c>
      <c r="S35" s="84"/>
      <c r="T35" s="83" t="s">
        <v>56</v>
      </c>
      <c r="U35" s="84"/>
      <c r="V35" s="83" t="s">
        <v>57</v>
      </c>
      <c r="W35" s="84"/>
      <c r="X35" s="83" t="s">
        <v>58</v>
      </c>
      <c r="Y35" s="84"/>
      <c r="Z35" s="83" t="s">
        <v>56</v>
      </c>
      <c r="AA35" s="84"/>
      <c r="AB35" s="83" t="s">
        <v>57</v>
      </c>
      <c r="AC35" s="84"/>
      <c r="AD35" s="83" t="s">
        <v>58</v>
      </c>
      <c r="AE35" s="84"/>
      <c r="AF35" s="83" t="s">
        <v>56</v>
      </c>
      <c r="AG35" s="84"/>
      <c r="AH35" s="83" t="s">
        <v>57</v>
      </c>
      <c r="AI35" s="84"/>
      <c r="AJ35" s="83" t="s">
        <v>58</v>
      </c>
      <c r="AK35" s="84"/>
      <c r="AL35" s="83" t="s">
        <v>56</v>
      </c>
      <c r="AM35" s="84"/>
      <c r="AN35" s="90"/>
    </row>
    <row r="36" spans="2:40">
      <c r="B36" s="91"/>
      <c r="C36" s="91"/>
      <c r="D36" s="4" t="s">
        <v>59</v>
      </c>
      <c r="E36" s="4" t="s">
        <v>60</v>
      </c>
      <c r="F36" s="4" t="s">
        <v>59</v>
      </c>
      <c r="G36" s="4" t="s">
        <v>60</v>
      </c>
      <c r="H36" s="4" t="s">
        <v>59</v>
      </c>
      <c r="I36" s="4" t="s">
        <v>60</v>
      </c>
      <c r="J36" s="4" t="s">
        <v>59</v>
      </c>
      <c r="K36" s="4" t="s">
        <v>60</v>
      </c>
      <c r="L36" s="4" t="s">
        <v>59</v>
      </c>
      <c r="M36" s="4" t="s">
        <v>60</v>
      </c>
      <c r="N36" s="4" t="s">
        <v>59</v>
      </c>
      <c r="O36" s="4" t="s">
        <v>60</v>
      </c>
      <c r="P36" s="4" t="s">
        <v>59</v>
      </c>
      <c r="Q36" s="4" t="s">
        <v>60</v>
      </c>
      <c r="R36" s="4" t="s">
        <v>59</v>
      </c>
      <c r="S36" s="4" t="s">
        <v>60</v>
      </c>
      <c r="T36" s="4" t="s">
        <v>59</v>
      </c>
      <c r="U36" s="4" t="s">
        <v>60</v>
      </c>
      <c r="V36" s="4" t="s">
        <v>59</v>
      </c>
      <c r="W36" s="4" t="s">
        <v>60</v>
      </c>
      <c r="X36" s="4" t="s">
        <v>59</v>
      </c>
      <c r="Y36" s="4" t="s">
        <v>60</v>
      </c>
      <c r="Z36" s="4" t="s">
        <v>59</v>
      </c>
      <c r="AA36" s="4" t="s">
        <v>60</v>
      </c>
      <c r="AB36" s="4" t="s">
        <v>59</v>
      </c>
      <c r="AC36" s="4" t="s">
        <v>60</v>
      </c>
      <c r="AD36" s="4" t="s">
        <v>59</v>
      </c>
      <c r="AE36" s="4" t="s">
        <v>60</v>
      </c>
      <c r="AF36" s="4" t="s">
        <v>59</v>
      </c>
      <c r="AG36" s="4" t="s">
        <v>60</v>
      </c>
      <c r="AH36" s="4" t="s">
        <v>59</v>
      </c>
      <c r="AI36" s="4" t="s">
        <v>60</v>
      </c>
      <c r="AJ36" s="4" t="s">
        <v>59</v>
      </c>
      <c r="AK36" s="4" t="s">
        <v>60</v>
      </c>
      <c r="AL36" s="4" t="s">
        <v>59</v>
      </c>
      <c r="AM36" s="4" t="s">
        <v>60</v>
      </c>
      <c r="AN36" s="91"/>
    </row>
    <row r="37" spans="2:40">
      <c r="B37" s="5">
        <v>1</v>
      </c>
      <c r="C37" s="6" t="s">
        <v>61</v>
      </c>
      <c r="D37" s="5">
        <v>124</v>
      </c>
      <c r="E37" s="5">
        <v>56.11</v>
      </c>
      <c r="F37" s="5">
        <v>97</v>
      </c>
      <c r="G37" s="5">
        <v>43.89</v>
      </c>
      <c r="H37" s="5">
        <v>221</v>
      </c>
      <c r="I37" s="5">
        <v>3.41</v>
      </c>
      <c r="J37" s="5">
        <v>346</v>
      </c>
      <c r="K37" s="5">
        <v>63.72</v>
      </c>
      <c r="L37" s="5">
        <v>197</v>
      </c>
      <c r="M37" s="5">
        <v>36.28</v>
      </c>
      <c r="N37" s="5">
        <v>543</v>
      </c>
      <c r="O37" s="5">
        <v>8.3800000000000008</v>
      </c>
      <c r="P37" s="7">
        <v>1551</v>
      </c>
      <c r="Q37" s="5">
        <v>57.59</v>
      </c>
      <c r="R37" s="7">
        <v>1142</v>
      </c>
      <c r="S37" s="5">
        <v>42.41</v>
      </c>
      <c r="T37" s="7">
        <v>2693</v>
      </c>
      <c r="U37" s="5">
        <v>41.58</v>
      </c>
      <c r="V37" s="5">
        <v>970</v>
      </c>
      <c r="W37" s="5">
        <v>46.59</v>
      </c>
      <c r="X37" s="7">
        <v>1112</v>
      </c>
      <c r="Y37" s="5">
        <v>53.41</v>
      </c>
      <c r="Z37" s="7">
        <v>2082</v>
      </c>
      <c r="AA37" s="5">
        <v>32.15</v>
      </c>
      <c r="AB37" s="5">
        <v>403</v>
      </c>
      <c r="AC37" s="5">
        <v>43.01</v>
      </c>
      <c r="AD37" s="5">
        <v>534</v>
      </c>
      <c r="AE37" s="5">
        <v>56.99</v>
      </c>
      <c r="AF37" s="5">
        <v>937</v>
      </c>
      <c r="AG37" s="5">
        <v>14.47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7">
        <v>6476</v>
      </c>
    </row>
    <row r="38" spans="2:40">
      <c r="B38" s="5">
        <v>2</v>
      </c>
      <c r="C38" s="6" t="s">
        <v>62</v>
      </c>
      <c r="D38" s="5">
        <v>92</v>
      </c>
      <c r="E38" s="5">
        <v>52.57</v>
      </c>
      <c r="F38" s="5">
        <v>83</v>
      </c>
      <c r="G38" s="5">
        <v>47.43</v>
      </c>
      <c r="H38" s="5">
        <v>175</v>
      </c>
      <c r="I38" s="5">
        <v>1.92</v>
      </c>
      <c r="J38" s="5">
        <v>196</v>
      </c>
      <c r="K38" s="5">
        <v>51.17</v>
      </c>
      <c r="L38" s="5">
        <v>187</v>
      </c>
      <c r="M38" s="5">
        <v>48.83</v>
      </c>
      <c r="N38" s="5">
        <v>383</v>
      </c>
      <c r="O38" s="5">
        <v>4.21</v>
      </c>
      <c r="P38" s="5">
        <v>745</v>
      </c>
      <c r="Q38" s="5">
        <v>52.32</v>
      </c>
      <c r="R38" s="5">
        <v>679</v>
      </c>
      <c r="S38" s="5">
        <v>47.68</v>
      </c>
      <c r="T38" s="7">
        <v>1424</v>
      </c>
      <c r="U38" s="5">
        <v>15.64</v>
      </c>
      <c r="V38" s="7">
        <v>1636</v>
      </c>
      <c r="W38" s="5">
        <v>52.74</v>
      </c>
      <c r="X38" s="7">
        <v>1466</v>
      </c>
      <c r="Y38" s="5">
        <v>47.26</v>
      </c>
      <c r="Z38" s="7">
        <v>3102</v>
      </c>
      <c r="AA38" s="5">
        <v>34.08</v>
      </c>
      <c r="AB38" s="7">
        <v>1862</v>
      </c>
      <c r="AC38" s="5">
        <v>46.33</v>
      </c>
      <c r="AD38" s="7">
        <v>2157</v>
      </c>
      <c r="AE38" s="5">
        <v>53.67</v>
      </c>
      <c r="AF38" s="7">
        <v>4019</v>
      </c>
      <c r="AG38" s="5">
        <v>44.15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7">
        <v>9103</v>
      </c>
    </row>
    <row r="39" spans="2:40">
      <c r="B39" s="5">
        <v>3</v>
      </c>
      <c r="C39" s="6" t="s">
        <v>63</v>
      </c>
      <c r="D39" s="5">
        <v>45</v>
      </c>
      <c r="E39" s="5">
        <v>51.14</v>
      </c>
      <c r="F39" s="5">
        <v>43</v>
      </c>
      <c r="G39" s="5">
        <v>48.86</v>
      </c>
      <c r="H39" s="5">
        <v>88</v>
      </c>
      <c r="I39" s="5">
        <v>2.19</v>
      </c>
      <c r="J39" s="5">
        <v>108</v>
      </c>
      <c r="K39" s="5">
        <v>55.96</v>
      </c>
      <c r="L39" s="5">
        <v>85</v>
      </c>
      <c r="M39" s="5">
        <v>44.04</v>
      </c>
      <c r="N39" s="5">
        <v>193</v>
      </c>
      <c r="O39" s="5">
        <v>4.8</v>
      </c>
      <c r="P39" s="5">
        <v>457</v>
      </c>
      <c r="Q39" s="5">
        <v>48.98</v>
      </c>
      <c r="R39" s="5">
        <v>476</v>
      </c>
      <c r="S39" s="5">
        <v>51.02</v>
      </c>
      <c r="T39" s="5">
        <v>933</v>
      </c>
      <c r="U39" s="5">
        <v>23.21</v>
      </c>
      <c r="V39" s="5">
        <v>663</v>
      </c>
      <c r="W39" s="5">
        <v>49.04</v>
      </c>
      <c r="X39" s="5">
        <v>689</v>
      </c>
      <c r="Y39" s="5">
        <v>50.96</v>
      </c>
      <c r="Z39" s="7">
        <v>1352</v>
      </c>
      <c r="AA39" s="5">
        <v>33.64</v>
      </c>
      <c r="AB39" s="5">
        <v>631</v>
      </c>
      <c r="AC39" s="5">
        <v>43.43</v>
      </c>
      <c r="AD39" s="5">
        <v>822</v>
      </c>
      <c r="AE39" s="5">
        <v>56.57</v>
      </c>
      <c r="AF39" s="7">
        <v>1453</v>
      </c>
      <c r="AG39" s="5">
        <v>36.15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7">
        <v>4019</v>
      </c>
    </row>
    <row r="40" spans="2:40">
      <c r="B40" s="5">
        <v>4</v>
      </c>
      <c r="C40" s="6" t="s">
        <v>64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</v>
      </c>
      <c r="Q40" s="5">
        <v>100</v>
      </c>
      <c r="R40" s="5">
        <v>0</v>
      </c>
      <c r="S40" s="5">
        <v>0</v>
      </c>
      <c r="T40" s="5">
        <v>3</v>
      </c>
      <c r="U40" s="5">
        <v>30</v>
      </c>
      <c r="V40" s="5">
        <v>3</v>
      </c>
      <c r="W40" s="5">
        <v>60</v>
      </c>
      <c r="X40" s="5">
        <v>2</v>
      </c>
      <c r="Y40" s="5">
        <v>40</v>
      </c>
      <c r="Z40" s="5">
        <v>5</v>
      </c>
      <c r="AA40" s="5">
        <v>50</v>
      </c>
      <c r="AB40" s="5">
        <v>0</v>
      </c>
      <c r="AC40" s="5">
        <v>0</v>
      </c>
      <c r="AD40" s="5">
        <v>2</v>
      </c>
      <c r="AE40" s="5">
        <v>100</v>
      </c>
      <c r="AF40" s="5">
        <v>2</v>
      </c>
      <c r="AG40" s="5">
        <v>20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10</v>
      </c>
    </row>
    <row r="41" spans="2:40">
      <c r="B41" s="85" t="s">
        <v>56</v>
      </c>
      <c r="C41" s="86"/>
      <c r="D41" s="8">
        <v>261</v>
      </c>
      <c r="E41" s="8">
        <v>53.93</v>
      </c>
      <c r="F41" s="8">
        <v>223</v>
      </c>
      <c r="G41" s="8">
        <v>46.07</v>
      </c>
      <c r="H41" s="8">
        <v>484</v>
      </c>
      <c r="I41" s="8">
        <v>2.4700000000000002</v>
      </c>
      <c r="J41" s="8">
        <v>650</v>
      </c>
      <c r="K41" s="8">
        <v>58.09</v>
      </c>
      <c r="L41" s="8">
        <v>469</v>
      </c>
      <c r="M41" s="8">
        <v>41.91</v>
      </c>
      <c r="N41" s="9">
        <v>1119</v>
      </c>
      <c r="O41" s="8">
        <v>5.71</v>
      </c>
      <c r="P41" s="9">
        <v>2756</v>
      </c>
      <c r="Q41" s="8">
        <v>54.54</v>
      </c>
      <c r="R41" s="9">
        <v>2297</v>
      </c>
      <c r="S41" s="8">
        <v>45.46</v>
      </c>
      <c r="T41" s="9">
        <v>5053</v>
      </c>
      <c r="U41" s="8">
        <v>25.77</v>
      </c>
      <c r="V41" s="9">
        <v>3272</v>
      </c>
      <c r="W41" s="8">
        <v>50.02</v>
      </c>
      <c r="X41" s="9">
        <v>3269</v>
      </c>
      <c r="Y41" s="8">
        <v>49.98</v>
      </c>
      <c r="Z41" s="9">
        <v>6541</v>
      </c>
      <c r="AA41" s="8">
        <v>33.36</v>
      </c>
      <c r="AB41" s="9">
        <v>2896</v>
      </c>
      <c r="AC41" s="8">
        <v>45.17</v>
      </c>
      <c r="AD41" s="9">
        <v>3515</v>
      </c>
      <c r="AE41" s="8">
        <v>54.83</v>
      </c>
      <c r="AF41" s="9">
        <v>6411</v>
      </c>
      <c r="AG41" s="8">
        <v>32.700000000000003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9">
        <v>19608</v>
      </c>
    </row>
    <row r="42" spans="2:40"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  <c r="AM42" s="82"/>
      <c r="AN42" s="82"/>
    </row>
    <row r="43" spans="2:40"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</row>
    <row r="44" spans="2:40">
      <c r="B44" s="1" t="s">
        <v>41</v>
      </c>
      <c r="C44" s="1" t="s">
        <v>42</v>
      </c>
      <c r="D44" s="2" t="s">
        <v>43</v>
      </c>
    </row>
    <row r="45" spans="2:40">
      <c r="B45" s="1" t="s">
        <v>44</v>
      </c>
      <c r="C45" s="1" t="s">
        <v>42</v>
      </c>
      <c r="D45" s="2" t="s">
        <v>86</v>
      </c>
    </row>
    <row r="46" spans="2:40">
      <c r="B46" s="1" t="s">
        <v>1</v>
      </c>
      <c r="C46" s="1" t="s">
        <v>42</v>
      </c>
      <c r="D46" s="2" t="s">
        <v>90</v>
      </c>
    </row>
    <row r="47" spans="2:40">
      <c r="B47" s="1" t="s">
        <v>47</v>
      </c>
      <c r="C47" s="1" t="s">
        <v>42</v>
      </c>
      <c r="D47" s="3">
        <v>46184</v>
      </c>
    </row>
    <row r="48" spans="2:40">
      <c r="B48" s="89" t="s">
        <v>48</v>
      </c>
      <c r="C48" s="89" t="s">
        <v>49</v>
      </c>
      <c r="D48" s="83" t="s">
        <v>50</v>
      </c>
      <c r="E48" s="88"/>
      <c r="F48" s="88"/>
      <c r="G48" s="88"/>
      <c r="H48" s="88"/>
      <c r="I48" s="84"/>
      <c r="J48" s="83" t="s">
        <v>51</v>
      </c>
      <c r="K48" s="88"/>
      <c r="L48" s="88"/>
      <c r="M48" s="88"/>
      <c r="N48" s="88"/>
      <c r="O48" s="84"/>
      <c r="P48" s="83" t="s">
        <v>52</v>
      </c>
      <c r="Q48" s="88"/>
      <c r="R48" s="88"/>
      <c r="S48" s="88"/>
      <c r="T48" s="88"/>
      <c r="U48" s="84"/>
      <c r="V48" s="83" t="s">
        <v>53</v>
      </c>
      <c r="W48" s="88"/>
      <c r="X48" s="88"/>
      <c r="Y48" s="88"/>
      <c r="Z48" s="88"/>
      <c r="AA48" s="84"/>
      <c r="AB48" s="83" t="s">
        <v>54</v>
      </c>
      <c r="AC48" s="88"/>
      <c r="AD48" s="88"/>
      <c r="AE48" s="88"/>
      <c r="AF48" s="88"/>
      <c r="AG48" s="84"/>
      <c r="AH48" s="83" t="s">
        <v>55</v>
      </c>
      <c r="AI48" s="88"/>
      <c r="AJ48" s="88"/>
      <c r="AK48" s="88"/>
      <c r="AL48" s="88"/>
      <c r="AM48" s="84"/>
      <c r="AN48" s="89" t="s">
        <v>56</v>
      </c>
    </row>
    <row r="49" spans="2:40">
      <c r="B49" s="90"/>
      <c r="C49" s="90"/>
      <c r="D49" s="83" t="s">
        <v>57</v>
      </c>
      <c r="E49" s="84"/>
      <c r="F49" s="83" t="s">
        <v>58</v>
      </c>
      <c r="G49" s="84"/>
      <c r="H49" s="83" t="s">
        <v>56</v>
      </c>
      <c r="I49" s="84"/>
      <c r="J49" s="83" t="s">
        <v>57</v>
      </c>
      <c r="K49" s="84"/>
      <c r="L49" s="83" t="s">
        <v>58</v>
      </c>
      <c r="M49" s="84"/>
      <c r="N49" s="83" t="s">
        <v>56</v>
      </c>
      <c r="O49" s="84"/>
      <c r="P49" s="83" t="s">
        <v>57</v>
      </c>
      <c r="Q49" s="84"/>
      <c r="R49" s="83" t="s">
        <v>58</v>
      </c>
      <c r="S49" s="84"/>
      <c r="T49" s="83" t="s">
        <v>56</v>
      </c>
      <c r="U49" s="84"/>
      <c r="V49" s="83" t="s">
        <v>57</v>
      </c>
      <c r="W49" s="84"/>
      <c r="X49" s="83" t="s">
        <v>58</v>
      </c>
      <c r="Y49" s="84"/>
      <c r="Z49" s="83" t="s">
        <v>56</v>
      </c>
      <c r="AA49" s="84"/>
      <c r="AB49" s="83" t="s">
        <v>57</v>
      </c>
      <c r="AC49" s="84"/>
      <c r="AD49" s="83" t="s">
        <v>58</v>
      </c>
      <c r="AE49" s="84"/>
      <c r="AF49" s="83" t="s">
        <v>56</v>
      </c>
      <c r="AG49" s="84"/>
      <c r="AH49" s="83" t="s">
        <v>57</v>
      </c>
      <c r="AI49" s="84"/>
      <c r="AJ49" s="83" t="s">
        <v>58</v>
      </c>
      <c r="AK49" s="84"/>
      <c r="AL49" s="83" t="s">
        <v>56</v>
      </c>
      <c r="AM49" s="84"/>
      <c r="AN49" s="90"/>
    </row>
    <row r="50" spans="2:40">
      <c r="B50" s="91"/>
      <c r="C50" s="91"/>
      <c r="D50" s="4" t="s">
        <v>59</v>
      </c>
      <c r="E50" s="4" t="s">
        <v>60</v>
      </c>
      <c r="F50" s="4" t="s">
        <v>59</v>
      </c>
      <c r="G50" s="4" t="s">
        <v>60</v>
      </c>
      <c r="H50" s="4" t="s">
        <v>59</v>
      </c>
      <c r="I50" s="4" t="s">
        <v>60</v>
      </c>
      <c r="J50" s="4" t="s">
        <v>59</v>
      </c>
      <c r="K50" s="4" t="s">
        <v>60</v>
      </c>
      <c r="L50" s="4" t="s">
        <v>59</v>
      </c>
      <c r="M50" s="4" t="s">
        <v>60</v>
      </c>
      <c r="N50" s="4" t="s">
        <v>59</v>
      </c>
      <c r="O50" s="4" t="s">
        <v>60</v>
      </c>
      <c r="P50" s="4" t="s">
        <v>59</v>
      </c>
      <c r="Q50" s="4" t="s">
        <v>60</v>
      </c>
      <c r="R50" s="4" t="s">
        <v>59</v>
      </c>
      <c r="S50" s="4" t="s">
        <v>60</v>
      </c>
      <c r="T50" s="4" t="s">
        <v>59</v>
      </c>
      <c r="U50" s="4" t="s">
        <v>60</v>
      </c>
      <c r="V50" s="4" t="s">
        <v>59</v>
      </c>
      <c r="W50" s="4" t="s">
        <v>60</v>
      </c>
      <c r="X50" s="4" t="s">
        <v>59</v>
      </c>
      <c r="Y50" s="4" t="s">
        <v>60</v>
      </c>
      <c r="Z50" s="4" t="s">
        <v>59</v>
      </c>
      <c r="AA50" s="4" t="s">
        <v>60</v>
      </c>
      <c r="AB50" s="4" t="s">
        <v>59</v>
      </c>
      <c r="AC50" s="4" t="s">
        <v>60</v>
      </c>
      <c r="AD50" s="4" t="s">
        <v>59</v>
      </c>
      <c r="AE50" s="4" t="s">
        <v>60</v>
      </c>
      <c r="AF50" s="4" t="s">
        <v>59</v>
      </c>
      <c r="AG50" s="4" t="s">
        <v>60</v>
      </c>
      <c r="AH50" s="4" t="s">
        <v>59</v>
      </c>
      <c r="AI50" s="4" t="s">
        <v>60</v>
      </c>
      <c r="AJ50" s="4" t="s">
        <v>59</v>
      </c>
      <c r="AK50" s="4" t="s">
        <v>60</v>
      </c>
      <c r="AL50" s="4" t="s">
        <v>59</v>
      </c>
      <c r="AM50" s="4" t="s">
        <v>60</v>
      </c>
      <c r="AN50" s="91"/>
    </row>
    <row r="51" spans="2:40">
      <c r="B51" s="5">
        <v>1</v>
      </c>
      <c r="C51" s="6" t="s">
        <v>61</v>
      </c>
      <c r="D51" s="5">
        <v>156</v>
      </c>
      <c r="E51" s="5">
        <v>51.49</v>
      </c>
      <c r="F51" s="5">
        <v>147</v>
      </c>
      <c r="G51" s="5">
        <v>48.51</v>
      </c>
      <c r="H51" s="5">
        <v>303</v>
      </c>
      <c r="I51" s="5">
        <v>6.61</v>
      </c>
      <c r="J51" s="5">
        <v>261</v>
      </c>
      <c r="K51" s="5">
        <v>51.38</v>
      </c>
      <c r="L51" s="5">
        <v>247</v>
      </c>
      <c r="M51" s="5">
        <v>48.62</v>
      </c>
      <c r="N51" s="5">
        <v>508</v>
      </c>
      <c r="O51" s="5">
        <v>11.09</v>
      </c>
      <c r="P51" s="5">
        <v>827</v>
      </c>
      <c r="Q51" s="5">
        <v>51.72</v>
      </c>
      <c r="R51" s="5">
        <v>772</v>
      </c>
      <c r="S51" s="5">
        <v>48.28</v>
      </c>
      <c r="T51" s="7">
        <v>1599</v>
      </c>
      <c r="U51" s="5">
        <v>34.909999999999997</v>
      </c>
      <c r="V51" s="5">
        <v>658</v>
      </c>
      <c r="W51" s="5">
        <v>48.7</v>
      </c>
      <c r="X51" s="5">
        <v>693</v>
      </c>
      <c r="Y51" s="5">
        <v>51.3</v>
      </c>
      <c r="Z51" s="7">
        <v>1351</v>
      </c>
      <c r="AA51" s="5">
        <v>29.49</v>
      </c>
      <c r="AB51" s="5">
        <v>323</v>
      </c>
      <c r="AC51" s="5">
        <v>39.39</v>
      </c>
      <c r="AD51" s="5">
        <v>497</v>
      </c>
      <c r="AE51" s="5">
        <v>60.61</v>
      </c>
      <c r="AF51" s="5">
        <v>820</v>
      </c>
      <c r="AG51" s="5">
        <v>17.899999999999999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7">
        <v>4581</v>
      </c>
    </row>
    <row r="52" spans="2:40">
      <c r="B52" s="5">
        <v>2</v>
      </c>
      <c r="C52" s="6" t="s">
        <v>62</v>
      </c>
      <c r="D52" s="5">
        <v>331</v>
      </c>
      <c r="E52" s="5">
        <v>51.64</v>
      </c>
      <c r="F52" s="5">
        <v>310</v>
      </c>
      <c r="G52" s="5">
        <v>48.36</v>
      </c>
      <c r="H52" s="5">
        <v>641</v>
      </c>
      <c r="I52" s="5">
        <v>3.47</v>
      </c>
      <c r="J52" s="5">
        <v>662</v>
      </c>
      <c r="K52" s="5">
        <v>49.33</v>
      </c>
      <c r="L52" s="5">
        <v>680</v>
      </c>
      <c r="M52" s="5">
        <v>50.67</v>
      </c>
      <c r="N52" s="7">
        <v>1342</v>
      </c>
      <c r="O52" s="5">
        <v>7.27</v>
      </c>
      <c r="P52" s="7">
        <v>2803</v>
      </c>
      <c r="Q52" s="5">
        <v>51.09</v>
      </c>
      <c r="R52" s="7">
        <v>2683</v>
      </c>
      <c r="S52" s="5">
        <v>48.91</v>
      </c>
      <c r="T52" s="7">
        <v>5486</v>
      </c>
      <c r="U52" s="5">
        <v>29.72</v>
      </c>
      <c r="V52" s="7">
        <v>3297</v>
      </c>
      <c r="W52" s="5">
        <v>50.03</v>
      </c>
      <c r="X52" s="7">
        <v>3293</v>
      </c>
      <c r="Y52" s="5">
        <v>49.97</v>
      </c>
      <c r="Z52" s="7">
        <v>6590</v>
      </c>
      <c r="AA52" s="5">
        <v>35.700000000000003</v>
      </c>
      <c r="AB52" s="7">
        <v>1956</v>
      </c>
      <c r="AC52" s="5">
        <v>44.47</v>
      </c>
      <c r="AD52" s="7">
        <v>2442</v>
      </c>
      <c r="AE52" s="5">
        <v>55.53</v>
      </c>
      <c r="AF52" s="7">
        <v>4398</v>
      </c>
      <c r="AG52" s="5">
        <v>23.83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7">
        <v>18457</v>
      </c>
    </row>
    <row r="53" spans="2:40">
      <c r="B53" s="5">
        <v>3</v>
      </c>
      <c r="C53" s="6" t="s">
        <v>63</v>
      </c>
      <c r="D53" s="5">
        <v>142</v>
      </c>
      <c r="E53" s="5">
        <v>55.25</v>
      </c>
      <c r="F53" s="5">
        <v>115</v>
      </c>
      <c r="G53" s="5">
        <v>44.75</v>
      </c>
      <c r="H53" s="5">
        <v>257</v>
      </c>
      <c r="I53" s="5">
        <v>3.54</v>
      </c>
      <c r="J53" s="5">
        <v>315</v>
      </c>
      <c r="K53" s="5">
        <v>53.39</v>
      </c>
      <c r="L53" s="5">
        <v>275</v>
      </c>
      <c r="M53" s="5">
        <v>46.61</v>
      </c>
      <c r="N53" s="5">
        <v>590</v>
      </c>
      <c r="O53" s="5">
        <v>8.1300000000000008</v>
      </c>
      <c r="P53" s="7">
        <v>1113</v>
      </c>
      <c r="Q53" s="5">
        <v>49.87</v>
      </c>
      <c r="R53" s="7">
        <v>1119</v>
      </c>
      <c r="S53" s="5">
        <v>50.13</v>
      </c>
      <c r="T53" s="7">
        <v>2232</v>
      </c>
      <c r="U53" s="5">
        <v>30.76</v>
      </c>
      <c r="V53" s="7">
        <v>1171</v>
      </c>
      <c r="W53" s="5">
        <v>47.47</v>
      </c>
      <c r="X53" s="7">
        <v>1296</v>
      </c>
      <c r="Y53" s="5">
        <v>52.53</v>
      </c>
      <c r="Z53" s="7">
        <v>2467</v>
      </c>
      <c r="AA53" s="5">
        <v>34</v>
      </c>
      <c r="AB53" s="5">
        <v>728</v>
      </c>
      <c r="AC53" s="5">
        <v>42.57</v>
      </c>
      <c r="AD53" s="5">
        <v>982</v>
      </c>
      <c r="AE53" s="5">
        <v>57.43</v>
      </c>
      <c r="AF53" s="7">
        <v>1710</v>
      </c>
      <c r="AG53" s="5">
        <v>23.57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7">
        <v>7256</v>
      </c>
    </row>
    <row r="54" spans="2:40">
      <c r="B54" s="5">
        <v>4</v>
      </c>
      <c r="C54" s="6" t="s">
        <v>64</v>
      </c>
      <c r="D54" s="5">
        <v>1</v>
      </c>
      <c r="E54" s="5">
        <v>100</v>
      </c>
      <c r="F54" s="5">
        <v>0</v>
      </c>
      <c r="G54" s="5">
        <v>0</v>
      </c>
      <c r="H54" s="5">
        <v>1</v>
      </c>
      <c r="I54" s="5">
        <v>4.55</v>
      </c>
      <c r="J54" s="5">
        <v>1</v>
      </c>
      <c r="K54" s="5">
        <v>50</v>
      </c>
      <c r="L54" s="5">
        <v>1</v>
      </c>
      <c r="M54" s="5">
        <v>50</v>
      </c>
      <c r="N54" s="5">
        <v>2</v>
      </c>
      <c r="O54" s="5">
        <v>9.09</v>
      </c>
      <c r="P54" s="5">
        <v>6</v>
      </c>
      <c r="Q54" s="5">
        <v>75</v>
      </c>
      <c r="R54" s="5">
        <v>2</v>
      </c>
      <c r="S54" s="5">
        <v>25</v>
      </c>
      <c r="T54" s="5">
        <v>8</v>
      </c>
      <c r="U54" s="5">
        <v>36.36</v>
      </c>
      <c r="V54" s="5">
        <v>6</v>
      </c>
      <c r="W54" s="5">
        <v>85.71</v>
      </c>
      <c r="X54" s="5">
        <v>1</v>
      </c>
      <c r="Y54" s="5">
        <v>14.29</v>
      </c>
      <c r="Z54" s="5">
        <v>7</v>
      </c>
      <c r="AA54" s="5">
        <v>31.82</v>
      </c>
      <c r="AB54" s="5">
        <v>3</v>
      </c>
      <c r="AC54" s="5">
        <v>75</v>
      </c>
      <c r="AD54" s="5">
        <v>1</v>
      </c>
      <c r="AE54" s="5">
        <v>25</v>
      </c>
      <c r="AF54" s="5">
        <v>4</v>
      </c>
      <c r="AG54" s="5">
        <v>18.18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22</v>
      </c>
    </row>
    <row r="55" spans="2:40">
      <c r="B55" s="85" t="s">
        <v>56</v>
      </c>
      <c r="C55" s="86"/>
      <c r="D55" s="8">
        <v>630</v>
      </c>
      <c r="E55" s="8">
        <v>52.41</v>
      </c>
      <c r="F55" s="8">
        <v>572</v>
      </c>
      <c r="G55" s="8">
        <v>47.59</v>
      </c>
      <c r="H55" s="9">
        <v>1202</v>
      </c>
      <c r="I55" s="8">
        <v>3.96</v>
      </c>
      <c r="J55" s="9">
        <v>1239</v>
      </c>
      <c r="K55" s="8">
        <v>50.74</v>
      </c>
      <c r="L55" s="9">
        <v>1203</v>
      </c>
      <c r="M55" s="8">
        <v>49.26</v>
      </c>
      <c r="N55" s="9">
        <v>2442</v>
      </c>
      <c r="O55" s="8">
        <v>8.06</v>
      </c>
      <c r="P55" s="9">
        <v>4749</v>
      </c>
      <c r="Q55" s="8">
        <v>50.93</v>
      </c>
      <c r="R55" s="9">
        <v>4576</v>
      </c>
      <c r="S55" s="8">
        <v>49.07</v>
      </c>
      <c r="T55" s="9">
        <v>9325</v>
      </c>
      <c r="U55" s="8">
        <v>30.76</v>
      </c>
      <c r="V55" s="9">
        <v>5132</v>
      </c>
      <c r="W55" s="8">
        <v>49.28</v>
      </c>
      <c r="X55" s="9">
        <v>5283</v>
      </c>
      <c r="Y55" s="8">
        <v>50.72</v>
      </c>
      <c r="Z55" s="9">
        <v>10415</v>
      </c>
      <c r="AA55" s="8">
        <v>34.35</v>
      </c>
      <c r="AB55" s="9">
        <v>3010</v>
      </c>
      <c r="AC55" s="8">
        <v>43.42</v>
      </c>
      <c r="AD55" s="9">
        <v>3922</v>
      </c>
      <c r="AE55" s="8">
        <v>56.58</v>
      </c>
      <c r="AF55" s="9">
        <v>6932</v>
      </c>
      <c r="AG55" s="8">
        <v>22.87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9">
        <v>30316</v>
      </c>
    </row>
    <row r="56" spans="2:40"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</row>
    <row r="57" spans="2:40"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</row>
    <row r="58" spans="2:40">
      <c r="B58" s="1" t="s">
        <v>41</v>
      </c>
      <c r="C58" s="1" t="s">
        <v>42</v>
      </c>
      <c r="D58" s="2" t="s">
        <v>43</v>
      </c>
    </row>
    <row r="59" spans="2:40">
      <c r="B59" s="1" t="s">
        <v>44</v>
      </c>
      <c r="C59" s="1" t="s">
        <v>42</v>
      </c>
      <c r="D59" s="2" t="s">
        <v>86</v>
      </c>
    </row>
    <row r="60" spans="2:40">
      <c r="B60" s="1" t="s">
        <v>1</v>
      </c>
      <c r="C60" s="1" t="s">
        <v>42</v>
      </c>
      <c r="D60" s="2" t="s">
        <v>91</v>
      </c>
    </row>
    <row r="61" spans="2:40">
      <c r="B61" s="1" t="s">
        <v>47</v>
      </c>
      <c r="C61" s="1" t="s">
        <v>42</v>
      </c>
      <c r="D61" s="3">
        <v>46184</v>
      </c>
    </row>
    <row r="62" spans="2:40">
      <c r="B62" s="89" t="s">
        <v>48</v>
      </c>
      <c r="C62" s="89" t="s">
        <v>49</v>
      </c>
      <c r="D62" s="83" t="s">
        <v>50</v>
      </c>
      <c r="E62" s="88"/>
      <c r="F62" s="88"/>
      <c r="G62" s="88"/>
      <c r="H62" s="88"/>
      <c r="I62" s="84"/>
      <c r="J62" s="83" t="s">
        <v>51</v>
      </c>
      <c r="K62" s="88"/>
      <c r="L62" s="88"/>
      <c r="M62" s="88"/>
      <c r="N62" s="88"/>
      <c r="O62" s="84"/>
      <c r="P62" s="83" t="s">
        <v>52</v>
      </c>
      <c r="Q62" s="88"/>
      <c r="R62" s="88"/>
      <c r="S62" s="88"/>
      <c r="T62" s="88"/>
      <c r="U62" s="84"/>
      <c r="V62" s="83" t="s">
        <v>53</v>
      </c>
      <c r="W62" s="88"/>
      <c r="X62" s="88"/>
      <c r="Y62" s="88"/>
      <c r="Z62" s="88"/>
      <c r="AA62" s="84"/>
      <c r="AB62" s="83" t="s">
        <v>54</v>
      </c>
      <c r="AC62" s="88"/>
      <c r="AD62" s="88"/>
      <c r="AE62" s="88"/>
      <c r="AF62" s="88"/>
      <c r="AG62" s="84"/>
      <c r="AH62" s="83" t="s">
        <v>55</v>
      </c>
      <c r="AI62" s="88"/>
      <c r="AJ62" s="88"/>
      <c r="AK62" s="88"/>
      <c r="AL62" s="88"/>
      <c r="AM62" s="84"/>
      <c r="AN62" s="89" t="s">
        <v>56</v>
      </c>
    </row>
    <row r="63" spans="2:40">
      <c r="B63" s="90"/>
      <c r="C63" s="90"/>
      <c r="D63" s="83" t="s">
        <v>57</v>
      </c>
      <c r="E63" s="84"/>
      <c r="F63" s="83" t="s">
        <v>58</v>
      </c>
      <c r="G63" s="84"/>
      <c r="H63" s="83" t="s">
        <v>56</v>
      </c>
      <c r="I63" s="84"/>
      <c r="J63" s="83" t="s">
        <v>57</v>
      </c>
      <c r="K63" s="84"/>
      <c r="L63" s="83" t="s">
        <v>58</v>
      </c>
      <c r="M63" s="84"/>
      <c r="N63" s="83" t="s">
        <v>56</v>
      </c>
      <c r="O63" s="84"/>
      <c r="P63" s="83" t="s">
        <v>57</v>
      </c>
      <c r="Q63" s="84"/>
      <c r="R63" s="83" t="s">
        <v>58</v>
      </c>
      <c r="S63" s="84"/>
      <c r="T63" s="83" t="s">
        <v>56</v>
      </c>
      <c r="U63" s="84"/>
      <c r="V63" s="83" t="s">
        <v>57</v>
      </c>
      <c r="W63" s="84"/>
      <c r="X63" s="83" t="s">
        <v>58</v>
      </c>
      <c r="Y63" s="84"/>
      <c r="Z63" s="83" t="s">
        <v>56</v>
      </c>
      <c r="AA63" s="84"/>
      <c r="AB63" s="83" t="s">
        <v>57</v>
      </c>
      <c r="AC63" s="84"/>
      <c r="AD63" s="83" t="s">
        <v>58</v>
      </c>
      <c r="AE63" s="84"/>
      <c r="AF63" s="83" t="s">
        <v>56</v>
      </c>
      <c r="AG63" s="84"/>
      <c r="AH63" s="83" t="s">
        <v>57</v>
      </c>
      <c r="AI63" s="84"/>
      <c r="AJ63" s="83" t="s">
        <v>58</v>
      </c>
      <c r="AK63" s="84"/>
      <c r="AL63" s="83" t="s">
        <v>56</v>
      </c>
      <c r="AM63" s="84"/>
      <c r="AN63" s="90"/>
    </row>
    <row r="64" spans="2:40">
      <c r="B64" s="91"/>
      <c r="C64" s="91"/>
      <c r="D64" s="4" t="s">
        <v>59</v>
      </c>
      <c r="E64" s="4" t="s">
        <v>60</v>
      </c>
      <c r="F64" s="4" t="s">
        <v>59</v>
      </c>
      <c r="G64" s="4" t="s">
        <v>60</v>
      </c>
      <c r="H64" s="4" t="s">
        <v>59</v>
      </c>
      <c r="I64" s="4" t="s">
        <v>60</v>
      </c>
      <c r="J64" s="4" t="s">
        <v>59</v>
      </c>
      <c r="K64" s="4" t="s">
        <v>60</v>
      </c>
      <c r="L64" s="4" t="s">
        <v>59</v>
      </c>
      <c r="M64" s="4" t="s">
        <v>60</v>
      </c>
      <c r="N64" s="4" t="s">
        <v>59</v>
      </c>
      <c r="O64" s="4" t="s">
        <v>60</v>
      </c>
      <c r="P64" s="4" t="s">
        <v>59</v>
      </c>
      <c r="Q64" s="4" t="s">
        <v>60</v>
      </c>
      <c r="R64" s="4" t="s">
        <v>59</v>
      </c>
      <c r="S64" s="4" t="s">
        <v>60</v>
      </c>
      <c r="T64" s="4" t="s">
        <v>59</v>
      </c>
      <c r="U64" s="4" t="s">
        <v>60</v>
      </c>
      <c r="V64" s="4" t="s">
        <v>59</v>
      </c>
      <c r="W64" s="4" t="s">
        <v>60</v>
      </c>
      <c r="X64" s="4" t="s">
        <v>59</v>
      </c>
      <c r="Y64" s="4" t="s">
        <v>60</v>
      </c>
      <c r="Z64" s="4" t="s">
        <v>59</v>
      </c>
      <c r="AA64" s="4" t="s">
        <v>60</v>
      </c>
      <c r="AB64" s="4" t="s">
        <v>59</v>
      </c>
      <c r="AC64" s="4" t="s">
        <v>60</v>
      </c>
      <c r="AD64" s="4" t="s">
        <v>59</v>
      </c>
      <c r="AE64" s="4" t="s">
        <v>60</v>
      </c>
      <c r="AF64" s="4" t="s">
        <v>59</v>
      </c>
      <c r="AG64" s="4" t="s">
        <v>60</v>
      </c>
      <c r="AH64" s="4" t="s">
        <v>59</v>
      </c>
      <c r="AI64" s="4" t="s">
        <v>60</v>
      </c>
      <c r="AJ64" s="4" t="s">
        <v>59</v>
      </c>
      <c r="AK64" s="4" t="s">
        <v>60</v>
      </c>
      <c r="AL64" s="4" t="s">
        <v>59</v>
      </c>
      <c r="AM64" s="4" t="s">
        <v>60</v>
      </c>
      <c r="AN64" s="91"/>
    </row>
    <row r="65" spans="2:40">
      <c r="B65" s="5">
        <v>1</v>
      </c>
      <c r="C65" s="6" t="s">
        <v>61</v>
      </c>
      <c r="D65" s="5">
        <v>275</v>
      </c>
      <c r="E65" s="5">
        <v>50.83</v>
      </c>
      <c r="F65" s="5">
        <v>266</v>
      </c>
      <c r="G65" s="5">
        <v>49.17</v>
      </c>
      <c r="H65" s="5">
        <v>541</v>
      </c>
      <c r="I65" s="5">
        <v>6.16</v>
      </c>
      <c r="J65" s="5">
        <v>642</v>
      </c>
      <c r="K65" s="5">
        <v>51.98</v>
      </c>
      <c r="L65" s="5">
        <v>593</v>
      </c>
      <c r="M65" s="5">
        <v>48.02</v>
      </c>
      <c r="N65" s="7">
        <v>1235</v>
      </c>
      <c r="O65" s="5">
        <v>14.06</v>
      </c>
      <c r="P65" s="7">
        <v>1825</v>
      </c>
      <c r="Q65" s="5">
        <v>47.7</v>
      </c>
      <c r="R65" s="7">
        <v>2001</v>
      </c>
      <c r="S65" s="5">
        <v>52.3</v>
      </c>
      <c r="T65" s="7">
        <v>3826</v>
      </c>
      <c r="U65" s="5">
        <v>43.57</v>
      </c>
      <c r="V65" s="5">
        <v>883</v>
      </c>
      <c r="W65" s="5">
        <v>43.89</v>
      </c>
      <c r="X65" s="7">
        <v>1129</v>
      </c>
      <c r="Y65" s="5">
        <v>56.11</v>
      </c>
      <c r="Z65" s="7">
        <v>2012</v>
      </c>
      <c r="AA65" s="5">
        <v>22.91</v>
      </c>
      <c r="AB65" s="5">
        <v>538</v>
      </c>
      <c r="AC65" s="5">
        <v>46.1</v>
      </c>
      <c r="AD65" s="5">
        <v>629</v>
      </c>
      <c r="AE65" s="5">
        <v>53.9</v>
      </c>
      <c r="AF65" s="7">
        <v>1167</v>
      </c>
      <c r="AG65" s="5">
        <v>13.29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7">
        <v>8781</v>
      </c>
    </row>
    <row r="66" spans="2:40">
      <c r="B66" s="5">
        <v>2</v>
      </c>
      <c r="C66" s="6" t="s">
        <v>62</v>
      </c>
      <c r="D66" s="5">
        <v>354</v>
      </c>
      <c r="E66" s="5">
        <v>51.08</v>
      </c>
      <c r="F66" s="5">
        <v>339</v>
      </c>
      <c r="G66" s="5">
        <v>48.92</v>
      </c>
      <c r="H66" s="5">
        <v>693</v>
      </c>
      <c r="I66" s="5">
        <v>4.4800000000000004</v>
      </c>
      <c r="J66" s="5">
        <v>814</v>
      </c>
      <c r="K66" s="5">
        <v>53.1</v>
      </c>
      <c r="L66" s="5">
        <v>719</v>
      </c>
      <c r="M66" s="5">
        <v>46.9</v>
      </c>
      <c r="N66" s="7">
        <v>1533</v>
      </c>
      <c r="O66" s="5">
        <v>9.92</v>
      </c>
      <c r="P66" s="7">
        <v>2301</v>
      </c>
      <c r="Q66" s="5">
        <v>50.86</v>
      </c>
      <c r="R66" s="7">
        <v>2223</v>
      </c>
      <c r="S66" s="5">
        <v>49.14</v>
      </c>
      <c r="T66" s="7">
        <v>4524</v>
      </c>
      <c r="U66" s="5">
        <v>29.27</v>
      </c>
      <c r="V66" s="7">
        <v>2699</v>
      </c>
      <c r="W66" s="5">
        <v>50.79</v>
      </c>
      <c r="X66" s="7">
        <v>2615</v>
      </c>
      <c r="Y66" s="5">
        <v>49.21</v>
      </c>
      <c r="Z66" s="7">
        <v>5314</v>
      </c>
      <c r="AA66" s="5">
        <v>34.380000000000003</v>
      </c>
      <c r="AB66" s="7">
        <v>1542</v>
      </c>
      <c r="AC66" s="5">
        <v>45.46</v>
      </c>
      <c r="AD66" s="7">
        <v>1850</v>
      </c>
      <c r="AE66" s="5">
        <v>54.54</v>
      </c>
      <c r="AF66" s="7">
        <v>3392</v>
      </c>
      <c r="AG66" s="5">
        <v>21.95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7">
        <v>15456</v>
      </c>
    </row>
    <row r="67" spans="2:40">
      <c r="B67" s="5">
        <v>3</v>
      </c>
      <c r="C67" s="6" t="s">
        <v>63</v>
      </c>
      <c r="D67" s="5">
        <v>242</v>
      </c>
      <c r="E67" s="5">
        <v>50.52</v>
      </c>
      <c r="F67" s="5">
        <v>237</v>
      </c>
      <c r="G67" s="5">
        <v>49.48</v>
      </c>
      <c r="H67" s="5">
        <v>479</v>
      </c>
      <c r="I67" s="5">
        <v>5.54</v>
      </c>
      <c r="J67" s="5">
        <v>539</v>
      </c>
      <c r="K67" s="5">
        <v>50.33</v>
      </c>
      <c r="L67" s="5">
        <v>532</v>
      </c>
      <c r="M67" s="5">
        <v>49.67</v>
      </c>
      <c r="N67" s="7">
        <v>1071</v>
      </c>
      <c r="O67" s="5">
        <v>12.38</v>
      </c>
      <c r="P67" s="7">
        <v>1458</v>
      </c>
      <c r="Q67" s="5">
        <v>48.83</v>
      </c>
      <c r="R67" s="7">
        <v>1528</v>
      </c>
      <c r="S67" s="5">
        <v>51.17</v>
      </c>
      <c r="T67" s="7">
        <v>2986</v>
      </c>
      <c r="U67" s="5">
        <v>34.5</v>
      </c>
      <c r="V67" s="7">
        <v>1373</v>
      </c>
      <c r="W67" s="5">
        <v>46.99</v>
      </c>
      <c r="X67" s="7">
        <v>1549</v>
      </c>
      <c r="Y67" s="5">
        <v>53.01</v>
      </c>
      <c r="Z67" s="7">
        <v>2922</v>
      </c>
      <c r="AA67" s="5">
        <v>33.76</v>
      </c>
      <c r="AB67" s="5">
        <v>528</v>
      </c>
      <c r="AC67" s="5">
        <v>44.15</v>
      </c>
      <c r="AD67" s="5">
        <v>668</v>
      </c>
      <c r="AE67" s="5">
        <v>55.85</v>
      </c>
      <c r="AF67" s="7">
        <v>1196</v>
      </c>
      <c r="AG67" s="5">
        <v>13.82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7">
        <v>8654</v>
      </c>
    </row>
    <row r="68" spans="2:40">
      <c r="B68" s="5">
        <v>4</v>
      </c>
      <c r="C68" s="6" t="s">
        <v>64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1</v>
      </c>
      <c r="M68" s="5">
        <v>100</v>
      </c>
      <c r="N68" s="5">
        <v>1</v>
      </c>
      <c r="O68" s="5">
        <v>12.5</v>
      </c>
      <c r="P68" s="5">
        <v>4</v>
      </c>
      <c r="Q68" s="5">
        <v>100</v>
      </c>
      <c r="R68" s="5">
        <v>0</v>
      </c>
      <c r="S68" s="5">
        <v>0</v>
      </c>
      <c r="T68" s="5">
        <v>4</v>
      </c>
      <c r="U68" s="5">
        <v>50</v>
      </c>
      <c r="V68" s="5">
        <v>1</v>
      </c>
      <c r="W68" s="5">
        <v>50</v>
      </c>
      <c r="X68" s="5">
        <v>1</v>
      </c>
      <c r="Y68" s="5">
        <v>50</v>
      </c>
      <c r="Z68" s="5">
        <v>2</v>
      </c>
      <c r="AA68" s="5">
        <v>25</v>
      </c>
      <c r="AB68" s="5">
        <v>0</v>
      </c>
      <c r="AC68" s="5">
        <v>0</v>
      </c>
      <c r="AD68" s="5">
        <v>1</v>
      </c>
      <c r="AE68" s="5">
        <v>100</v>
      </c>
      <c r="AF68" s="5">
        <v>1</v>
      </c>
      <c r="AG68" s="5">
        <v>12.5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8</v>
      </c>
    </row>
    <row r="69" spans="2:40">
      <c r="B69" s="85" t="s">
        <v>56</v>
      </c>
      <c r="C69" s="86"/>
      <c r="D69" s="8">
        <v>871</v>
      </c>
      <c r="E69" s="8">
        <v>50.85</v>
      </c>
      <c r="F69" s="8">
        <v>842</v>
      </c>
      <c r="G69" s="8">
        <v>49.15</v>
      </c>
      <c r="H69" s="9">
        <v>1713</v>
      </c>
      <c r="I69" s="8">
        <v>5.21</v>
      </c>
      <c r="J69" s="9">
        <v>1995</v>
      </c>
      <c r="K69" s="8">
        <v>51.95</v>
      </c>
      <c r="L69" s="9">
        <v>1845</v>
      </c>
      <c r="M69" s="8">
        <v>48.05</v>
      </c>
      <c r="N69" s="9">
        <v>3840</v>
      </c>
      <c r="O69" s="8">
        <v>11.67</v>
      </c>
      <c r="P69" s="9">
        <v>5588</v>
      </c>
      <c r="Q69" s="8">
        <v>49.28</v>
      </c>
      <c r="R69" s="9">
        <v>5752</v>
      </c>
      <c r="S69" s="8">
        <v>50.72</v>
      </c>
      <c r="T69" s="9">
        <v>11340</v>
      </c>
      <c r="U69" s="8">
        <v>34.47</v>
      </c>
      <c r="V69" s="9">
        <v>4956</v>
      </c>
      <c r="W69" s="8">
        <v>48.35</v>
      </c>
      <c r="X69" s="9">
        <v>5294</v>
      </c>
      <c r="Y69" s="8">
        <v>51.65</v>
      </c>
      <c r="Z69" s="9">
        <v>10250</v>
      </c>
      <c r="AA69" s="8">
        <v>31.16</v>
      </c>
      <c r="AB69" s="9">
        <v>2608</v>
      </c>
      <c r="AC69" s="8">
        <v>45.31</v>
      </c>
      <c r="AD69" s="9">
        <v>3148</v>
      </c>
      <c r="AE69" s="8">
        <v>54.69</v>
      </c>
      <c r="AF69" s="9">
        <v>5756</v>
      </c>
      <c r="AG69" s="8">
        <v>17.5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9">
        <v>32899</v>
      </c>
    </row>
    <row r="70" spans="2:40"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  <c r="AM70" s="82"/>
      <c r="AN70" s="82"/>
    </row>
  </sheetData>
  <mergeCells count="149">
    <mergeCell ref="AB6:AG6"/>
    <mergeCell ref="AH6:AM6"/>
    <mergeCell ref="AN6:AN8"/>
    <mergeCell ref="D7:E7"/>
    <mergeCell ref="F7:G7"/>
    <mergeCell ref="H7:I7"/>
    <mergeCell ref="J7:K7"/>
    <mergeCell ref="L7:M7"/>
    <mergeCell ref="N7:O7"/>
    <mergeCell ref="P7:Q7"/>
    <mergeCell ref="D6:I6"/>
    <mergeCell ref="J6:O6"/>
    <mergeCell ref="P6:U6"/>
    <mergeCell ref="V6:AA6"/>
    <mergeCell ref="R7:S7"/>
    <mergeCell ref="T7:U7"/>
    <mergeCell ref="V7:W7"/>
    <mergeCell ref="X7:Y7"/>
    <mergeCell ref="AL7:AM7"/>
    <mergeCell ref="B13:C13"/>
    <mergeCell ref="B20:B22"/>
    <mergeCell ref="C20:C22"/>
    <mergeCell ref="D20:I20"/>
    <mergeCell ref="J20:O20"/>
    <mergeCell ref="P20:U20"/>
    <mergeCell ref="V20:AA20"/>
    <mergeCell ref="AB20:AG20"/>
    <mergeCell ref="AH20:AM20"/>
    <mergeCell ref="Z7:AA7"/>
    <mergeCell ref="AB7:AC7"/>
    <mergeCell ref="AD7:AE7"/>
    <mergeCell ref="AF7:AG7"/>
    <mergeCell ref="AH7:AI7"/>
    <mergeCell ref="AJ7:AK7"/>
    <mergeCell ref="B6:B8"/>
    <mergeCell ref="C6:C8"/>
    <mergeCell ref="AN20:AN22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AH21:AI21"/>
    <mergeCell ref="AJ21:AK21"/>
    <mergeCell ref="AL21:AM21"/>
    <mergeCell ref="B27:C27"/>
    <mergeCell ref="B34:B36"/>
    <mergeCell ref="C34:C36"/>
    <mergeCell ref="D34:I34"/>
    <mergeCell ref="J34:O34"/>
    <mergeCell ref="P34:U34"/>
    <mergeCell ref="V34:AA34"/>
    <mergeCell ref="V21:W21"/>
    <mergeCell ref="X21:Y21"/>
    <mergeCell ref="Z21:AA21"/>
    <mergeCell ref="AB21:AC21"/>
    <mergeCell ref="AD21:AE21"/>
    <mergeCell ref="AF21:AG21"/>
    <mergeCell ref="AB34:AG34"/>
    <mergeCell ref="AH34:AM34"/>
    <mergeCell ref="AN34:AN36"/>
    <mergeCell ref="D35:E35"/>
    <mergeCell ref="F35:G35"/>
    <mergeCell ref="H35:I35"/>
    <mergeCell ref="J35:K35"/>
    <mergeCell ref="L35:M35"/>
    <mergeCell ref="N35:O35"/>
    <mergeCell ref="P35:Q35"/>
    <mergeCell ref="AD35:AE35"/>
    <mergeCell ref="AF35:AG35"/>
    <mergeCell ref="AH35:AI35"/>
    <mergeCell ref="AJ35:AK35"/>
    <mergeCell ref="AL35:AM35"/>
    <mergeCell ref="B41:C41"/>
    <mergeCell ref="R35:S35"/>
    <mergeCell ref="T35:U35"/>
    <mergeCell ref="V35:W35"/>
    <mergeCell ref="X35:Y35"/>
    <mergeCell ref="Z35:AA35"/>
    <mergeCell ref="AB35:AC35"/>
    <mergeCell ref="AB48:AG48"/>
    <mergeCell ref="AH48:AM48"/>
    <mergeCell ref="AN48:AN50"/>
    <mergeCell ref="D49:E49"/>
    <mergeCell ref="F49:G49"/>
    <mergeCell ref="H49:I49"/>
    <mergeCell ref="J49:K49"/>
    <mergeCell ref="L49:M49"/>
    <mergeCell ref="N49:O49"/>
    <mergeCell ref="P49:Q49"/>
    <mergeCell ref="D48:I48"/>
    <mergeCell ref="J48:O48"/>
    <mergeCell ref="P48:U48"/>
    <mergeCell ref="V48:AA48"/>
    <mergeCell ref="R49:S49"/>
    <mergeCell ref="T49:U49"/>
    <mergeCell ref="V49:W49"/>
    <mergeCell ref="X49:Y49"/>
    <mergeCell ref="L63:M63"/>
    <mergeCell ref="N63:O63"/>
    <mergeCell ref="P63:Q63"/>
    <mergeCell ref="R63:S63"/>
    <mergeCell ref="T63:U63"/>
    <mergeCell ref="AL49:AM49"/>
    <mergeCell ref="B55:C55"/>
    <mergeCell ref="B62:B64"/>
    <mergeCell ref="C62:C64"/>
    <mergeCell ref="D62:I62"/>
    <mergeCell ref="J62:O62"/>
    <mergeCell ref="P62:U62"/>
    <mergeCell ref="V62:AA62"/>
    <mergeCell ref="AB62:AG62"/>
    <mergeCell ref="AH62:AM62"/>
    <mergeCell ref="Z49:AA49"/>
    <mergeCell ref="AB49:AC49"/>
    <mergeCell ref="AD49:AE49"/>
    <mergeCell ref="AF49:AG49"/>
    <mergeCell ref="AH49:AI49"/>
    <mergeCell ref="AJ49:AK49"/>
    <mergeCell ref="B48:B50"/>
    <mergeCell ref="C48:C50"/>
    <mergeCell ref="B56:AN56"/>
    <mergeCell ref="B57:AN57"/>
    <mergeCell ref="B70:AN70"/>
    <mergeCell ref="AH63:AI63"/>
    <mergeCell ref="AJ63:AK63"/>
    <mergeCell ref="AL63:AM63"/>
    <mergeCell ref="B69:C69"/>
    <mergeCell ref="B14:AN14"/>
    <mergeCell ref="B15:AN15"/>
    <mergeCell ref="B28:AN28"/>
    <mergeCell ref="B29:AN29"/>
    <mergeCell ref="B42:AN42"/>
    <mergeCell ref="B43:AN43"/>
    <mergeCell ref="V63:W63"/>
    <mergeCell ref="X63:Y63"/>
    <mergeCell ref="Z63:AA63"/>
    <mergeCell ref="AB63:AC63"/>
    <mergeCell ref="AD63:AE63"/>
    <mergeCell ref="AF63:AG63"/>
    <mergeCell ref="AN62:AN64"/>
    <mergeCell ref="D63:E63"/>
    <mergeCell ref="F63:G63"/>
    <mergeCell ref="H63:I63"/>
    <mergeCell ref="J63:K6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38E75-5F6D-4BCB-B0B0-F19422029F0F}">
  <dimension ref="B2:AN57"/>
  <sheetViews>
    <sheetView topLeftCell="A41" workbookViewId="0">
      <selection activeCell="B15" sqref="B15:AN15"/>
    </sheetView>
  </sheetViews>
  <sheetFormatPr defaultRowHeight="14.5"/>
  <sheetData>
    <row r="2" spans="2:40">
      <c r="B2" s="1" t="s">
        <v>41</v>
      </c>
      <c r="C2" s="1" t="s">
        <v>42</v>
      </c>
      <c r="D2" s="2" t="s">
        <v>43</v>
      </c>
    </row>
    <row r="3" spans="2:40">
      <c r="B3" s="1" t="s">
        <v>44</v>
      </c>
      <c r="C3" s="1" t="s">
        <v>42</v>
      </c>
      <c r="D3" s="2" t="s">
        <v>92</v>
      </c>
    </row>
    <row r="4" spans="2:40">
      <c r="B4" s="1" t="s">
        <v>1</v>
      </c>
      <c r="C4" s="1" t="s">
        <v>42</v>
      </c>
      <c r="D4" s="2" t="s">
        <v>93</v>
      </c>
    </row>
    <row r="5" spans="2:40">
      <c r="B5" s="1" t="s">
        <v>47</v>
      </c>
      <c r="C5" s="1" t="s">
        <v>42</v>
      </c>
      <c r="D5" s="3">
        <v>46184</v>
      </c>
    </row>
    <row r="6" spans="2:40">
      <c r="B6" s="89" t="s">
        <v>48</v>
      </c>
      <c r="C6" s="89" t="s">
        <v>49</v>
      </c>
      <c r="D6" s="83" t="s">
        <v>50</v>
      </c>
      <c r="E6" s="88"/>
      <c r="F6" s="88"/>
      <c r="G6" s="88"/>
      <c r="H6" s="88"/>
      <c r="I6" s="84"/>
      <c r="J6" s="83" t="s">
        <v>51</v>
      </c>
      <c r="K6" s="88"/>
      <c r="L6" s="88"/>
      <c r="M6" s="88"/>
      <c r="N6" s="88"/>
      <c r="O6" s="84"/>
      <c r="P6" s="83" t="s">
        <v>52</v>
      </c>
      <c r="Q6" s="88"/>
      <c r="R6" s="88"/>
      <c r="S6" s="88"/>
      <c r="T6" s="88"/>
      <c r="U6" s="84"/>
      <c r="V6" s="83" t="s">
        <v>53</v>
      </c>
      <c r="W6" s="88"/>
      <c r="X6" s="88"/>
      <c r="Y6" s="88"/>
      <c r="Z6" s="88"/>
      <c r="AA6" s="84"/>
      <c r="AB6" s="83" t="s">
        <v>54</v>
      </c>
      <c r="AC6" s="88"/>
      <c r="AD6" s="88"/>
      <c r="AE6" s="88"/>
      <c r="AF6" s="88"/>
      <c r="AG6" s="84"/>
      <c r="AH6" s="83" t="s">
        <v>55</v>
      </c>
      <c r="AI6" s="88"/>
      <c r="AJ6" s="88"/>
      <c r="AK6" s="88"/>
      <c r="AL6" s="88"/>
      <c r="AM6" s="84"/>
      <c r="AN6" s="89" t="s">
        <v>56</v>
      </c>
    </row>
    <row r="7" spans="2:40">
      <c r="B7" s="90"/>
      <c r="C7" s="90"/>
      <c r="D7" s="83" t="s">
        <v>57</v>
      </c>
      <c r="E7" s="84"/>
      <c r="F7" s="83" t="s">
        <v>58</v>
      </c>
      <c r="G7" s="84"/>
      <c r="H7" s="83" t="s">
        <v>56</v>
      </c>
      <c r="I7" s="84"/>
      <c r="J7" s="83" t="s">
        <v>57</v>
      </c>
      <c r="K7" s="84"/>
      <c r="L7" s="83" t="s">
        <v>58</v>
      </c>
      <c r="M7" s="84"/>
      <c r="N7" s="83" t="s">
        <v>56</v>
      </c>
      <c r="O7" s="84"/>
      <c r="P7" s="83" t="s">
        <v>57</v>
      </c>
      <c r="Q7" s="84"/>
      <c r="R7" s="83" t="s">
        <v>58</v>
      </c>
      <c r="S7" s="84"/>
      <c r="T7" s="83" t="s">
        <v>56</v>
      </c>
      <c r="U7" s="84"/>
      <c r="V7" s="83" t="s">
        <v>57</v>
      </c>
      <c r="W7" s="84"/>
      <c r="X7" s="83" t="s">
        <v>58</v>
      </c>
      <c r="Y7" s="84"/>
      <c r="Z7" s="83" t="s">
        <v>56</v>
      </c>
      <c r="AA7" s="84"/>
      <c r="AB7" s="83" t="s">
        <v>57</v>
      </c>
      <c r="AC7" s="84"/>
      <c r="AD7" s="83" t="s">
        <v>58</v>
      </c>
      <c r="AE7" s="84"/>
      <c r="AF7" s="83" t="s">
        <v>56</v>
      </c>
      <c r="AG7" s="84"/>
      <c r="AH7" s="83" t="s">
        <v>57</v>
      </c>
      <c r="AI7" s="84"/>
      <c r="AJ7" s="83" t="s">
        <v>58</v>
      </c>
      <c r="AK7" s="84"/>
      <c r="AL7" s="83" t="s">
        <v>56</v>
      </c>
      <c r="AM7" s="84"/>
      <c r="AN7" s="90"/>
    </row>
    <row r="8" spans="2:40">
      <c r="B8" s="91"/>
      <c r="C8" s="91"/>
      <c r="D8" s="4" t="s">
        <v>59</v>
      </c>
      <c r="E8" s="4" t="s">
        <v>60</v>
      </c>
      <c r="F8" s="4" t="s">
        <v>59</v>
      </c>
      <c r="G8" s="4" t="s">
        <v>60</v>
      </c>
      <c r="H8" s="4" t="s">
        <v>59</v>
      </c>
      <c r="I8" s="4" t="s">
        <v>60</v>
      </c>
      <c r="J8" s="4" t="s">
        <v>59</v>
      </c>
      <c r="K8" s="4" t="s">
        <v>60</v>
      </c>
      <c r="L8" s="4" t="s">
        <v>59</v>
      </c>
      <c r="M8" s="4" t="s">
        <v>60</v>
      </c>
      <c r="N8" s="4" t="s">
        <v>59</v>
      </c>
      <c r="O8" s="4" t="s">
        <v>60</v>
      </c>
      <c r="P8" s="4" t="s">
        <v>59</v>
      </c>
      <c r="Q8" s="4" t="s">
        <v>60</v>
      </c>
      <c r="R8" s="4" t="s">
        <v>59</v>
      </c>
      <c r="S8" s="4" t="s">
        <v>60</v>
      </c>
      <c r="T8" s="4" t="s">
        <v>59</v>
      </c>
      <c r="U8" s="4" t="s">
        <v>60</v>
      </c>
      <c r="V8" s="4" t="s">
        <v>59</v>
      </c>
      <c r="W8" s="4" t="s">
        <v>60</v>
      </c>
      <c r="X8" s="4" t="s">
        <v>59</v>
      </c>
      <c r="Y8" s="4" t="s">
        <v>60</v>
      </c>
      <c r="Z8" s="4" t="s">
        <v>59</v>
      </c>
      <c r="AA8" s="4" t="s">
        <v>60</v>
      </c>
      <c r="AB8" s="4" t="s">
        <v>59</v>
      </c>
      <c r="AC8" s="4" t="s">
        <v>60</v>
      </c>
      <c r="AD8" s="4" t="s">
        <v>59</v>
      </c>
      <c r="AE8" s="4" t="s">
        <v>60</v>
      </c>
      <c r="AF8" s="4" t="s">
        <v>59</v>
      </c>
      <c r="AG8" s="4" t="s">
        <v>60</v>
      </c>
      <c r="AH8" s="4" t="s">
        <v>59</v>
      </c>
      <c r="AI8" s="4" t="s">
        <v>60</v>
      </c>
      <c r="AJ8" s="4" t="s">
        <v>59</v>
      </c>
      <c r="AK8" s="4" t="s">
        <v>60</v>
      </c>
      <c r="AL8" s="4" t="s">
        <v>59</v>
      </c>
      <c r="AM8" s="4" t="s">
        <v>60</v>
      </c>
      <c r="AN8" s="91"/>
    </row>
    <row r="9" spans="2:40">
      <c r="B9" s="5">
        <v>1</v>
      </c>
      <c r="C9" s="6" t="s">
        <v>61</v>
      </c>
      <c r="D9" s="7">
        <v>1944</v>
      </c>
      <c r="E9" s="5">
        <v>52.68</v>
      </c>
      <c r="F9" s="7">
        <v>1746</v>
      </c>
      <c r="G9" s="5">
        <v>47.32</v>
      </c>
      <c r="H9" s="7">
        <v>3690</v>
      </c>
      <c r="I9" s="5">
        <v>7.15</v>
      </c>
      <c r="J9" s="7">
        <v>3937</v>
      </c>
      <c r="K9" s="5">
        <v>51.52</v>
      </c>
      <c r="L9" s="7">
        <v>3705</v>
      </c>
      <c r="M9" s="5">
        <v>48.48</v>
      </c>
      <c r="N9" s="7">
        <v>7642</v>
      </c>
      <c r="O9" s="5">
        <v>14.81</v>
      </c>
      <c r="P9" s="7">
        <v>10220</v>
      </c>
      <c r="Q9" s="5">
        <v>50.7</v>
      </c>
      <c r="R9" s="7">
        <v>9938</v>
      </c>
      <c r="S9" s="5">
        <v>49.3</v>
      </c>
      <c r="T9" s="7">
        <v>20158</v>
      </c>
      <c r="U9" s="5">
        <v>39.06</v>
      </c>
      <c r="V9" s="7">
        <v>6280</v>
      </c>
      <c r="W9" s="5">
        <v>46.33</v>
      </c>
      <c r="X9" s="7">
        <v>7274</v>
      </c>
      <c r="Y9" s="5">
        <v>53.67</v>
      </c>
      <c r="Z9" s="7">
        <v>13554</v>
      </c>
      <c r="AA9" s="5">
        <v>26.27</v>
      </c>
      <c r="AB9" s="7">
        <v>3068</v>
      </c>
      <c r="AC9" s="5">
        <v>46.78</v>
      </c>
      <c r="AD9" s="7">
        <v>3490</v>
      </c>
      <c r="AE9" s="5">
        <v>53.22</v>
      </c>
      <c r="AF9" s="7">
        <v>6558</v>
      </c>
      <c r="AG9" s="5">
        <v>12.71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7">
        <v>51602</v>
      </c>
    </row>
    <row r="10" spans="2:40">
      <c r="B10" s="5">
        <v>2</v>
      </c>
      <c r="C10" s="6" t="s">
        <v>62</v>
      </c>
      <c r="D10" s="5">
        <v>115</v>
      </c>
      <c r="E10" s="5">
        <v>55.02</v>
      </c>
      <c r="F10" s="5">
        <v>94</v>
      </c>
      <c r="G10" s="5">
        <v>44.98</v>
      </c>
      <c r="H10" s="5">
        <v>209</v>
      </c>
      <c r="I10" s="5">
        <v>4.74</v>
      </c>
      <c r="J10" s="5">
        <v>255</v>
      </c>
      <c r="K10" s="5">
        <v>50.4</v>
      </c>
      <c r="L10" s="5">
        <v>251</v>
      </c>
      <c r="M10" s="5">
        <v>49.6</v>
      </c>
      <c r="N10" s="5">
        <v>506</v>
      </c>
      <c r="O10" s="5">
        <v>11.48</v>
      </c>
      <c r="P10" s="5">
        <v>570</v>
      </c>
      <c r="Q10" s="5">
        <v>50.4</v>
      </c>
      <c r="R10" s="5">
        <v>561</v>
      </c>
      <c r="S10" s="5">
        <v>49.6</v>
      </c>
      <c r="T10" s="7">
        <v>1131</v>
      </c>
      <c r="U10" s="5">
        <v>25.67</v>
      </c>
      <c r="V10" s="5">
        <v>708</v>
      </c>
      <c r="W10" s="5">
        <v>48.76</v>
      </c>
      <c r="X10" s="5">
        <v>744</v>
      </c>
      <c r="Y10" s="5">
        <v>51.24</v>
      </c>
      <c r="Z10" s="7">
        <v>1452</v>
      </c>
      <c r="AA10" s="5">
        <v>32.96</v>
      </c>
      <c r="AB10" s="5">
        <v>501</v>
      </c>
      <c r="AC10" s="5">
        <v>45.22</v>
      </c>
      <c r="AD10" s="5">
        <v>607</v>
      </c>
      <c r="AE10" s="5">
        <v>54.78</v>
      </c>
      <c r="AF10" s="7">
        <v>1108</v>
      </c>
      <c r="AG10" s="5">
        <v>25.15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7">
        <v>4406</v>
      </c>
    </row>
    <row r="11" spans="2:40">
      <c r="B11" s="5">
        <v>3</v>
      </c>
      <c r="C11" s="6" t="s">
        <v>63</v>
      </c>
      <c r="D11" s="5">
        <v>223</v>
      </c>
      <c r="E11" s="5">
        <v>50.68</v>
      </c>
      <c r="F11" s="5">
        <v>217</v>
      </c>
      <c r="G11" s="5">
        <v>49.32</v>
      </c>
      <c r="H11" s="5">
        <v>440</v>
      </c>
      <c r="I11" s="5">
        <v>5.13</v>
      </c>
      <c r="J11" s="5">
        <v>503</v>
      </c>
      <c r="K11" s="5">
        <v>50.6</v>
      </c>
      <c r="L11" s="5">
        <v>491</v>
      </c>
      <c r="M11" s="5">
        <v>49.4</v>
      </c>
      <c r="N11" s="5">
        <v>994</v>
      </c>
      <c r="O11" s="5">
        <v>11.6</v>
      </c>
      <c r="P11" s="7">
        <v>1373</v>
      </c>
      <c r="Q11" s="5">
        <v>48.83</v>
      </c>
      <c r="R11" s="7">
        <v>1439</v>
      </c>
      <c r="S11" s="5">
        <v>51.17</v>
      </c>
      <c r="T11" s="7">
        <v>2812</v>
      </c>
      <c r="U11" s="5">
        <v>32.81</v>
      </c>
      <c r="V11" s="7">
        <v>1293</v>
      </c>
      <c r="W11" s="5">
        <v>45.71</v>
      </c>
      <c r="X11" s="7">
        <v>1536</v>
      </c>
      <c r="Y11" s="5">
        <v>54.29</v>
      </c>
      <c r="Z11" s="7">
        <v>2829</v>
      </c>
      <c r="AA11" s="5">
        <v>33.01</v>
      </c>
      <c r="AB11" s="5">
        <v>654</v>
      </c>
      <c r="AC11" s="5">
        <v>43.75</v>
      </c>
      <c r="AD11" s="5">
        <v>841</v>
      </c>
      <c r="AE11" s="5">
        <v>56.25</v>
      </c>
      <c r="AF11" s="7">
        <v>1495</v>
      </c>
      <c r="AG11" s="5">
        <v>17.440000000000001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7">
        <v>8570</v>
      </c>
    </row>
    <row r="12" spans="2:40">
      <c r="B12" s="5">
        <v>4</v>
      </c>
      <c r="C12" s="6" t="s">
        <v>64</v>
      </c>
      <c r="D12" s="5">
        <v>2</v>
      </c>
      <c r="E12" s="5">
        <v>66.67</v>
      </c>
      <c r="F12" s="5">
        <v>1</v>
      </c>
      <c r="G12" s="5">
        <v>33.33</v>
      </c>
      <c r="H12" s="5">
        <v>3</v>
      </c>
      <c r="I12" s="5">
        <v>75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1</v>
      </c>
      <c r="AE12" s="5">
        <v>100</v>
      </c>
      <c r="AF12" s="5">
        <v>1</v>
      </c>
      <c r="AG12" s="5">
        <v>25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4</v>
      </c>
    </row>
    <row r="13" spans="2:40">
      <c r="B13" s="85" t="s">
        <v>56</v>
      </c>
      <c r="C13" s="86"/>
      <c r="D13" s="9">
        <v>2284</v>
      </c>
      <c r="E13" s="8">
        <v>52.6</v>
      </c>
      <c r="F13" s="9">
        <v>2058</v>
      </c>
      <c r="G13" s="8">
        <v>47.4</v>
      </c>
      <c r="H13" s="9">
        <v>4342</v>
      </c>
      <c r="I13" s="8">
        <v>6.72</v>
      </c>
      <c r="J13" s="9">
        <v>4695</v>
      </c>
      <c r="K13" s="8">
        <v>51.36</v>
      </c>
      <c r="L13" s="9">
        <v>4447</v>
      </c>
      <c r="M13" s="8">
        <v>48.64</v>
      </c>
      <c r="N13" s="9">
        <v>9142</v>
      </c>
      <c r="O13" s="8">
        <v>14.16</v>
      </c>
      <c r="P13" s="9">
        <v>12163</v>
      </c>
      <c r="Q13" s="8">
        <v>50.47</v>
      </c>
      <c r="R13" s="9">
        <v>11938</v>
      </c>
      <c r="S13" s="8">
        <v>49.53</v>
      </c>
      <c r="T13" s="9">
        <v>24101</v>
      </c>
      <c r="U13" s="8">
        <v>37.32</v>
      </c>
      <c r="V13" s="9">
        <v>8281</v>
      </c>
      <c r="W13" s="8">
        <v>46.43</v>
      </c>
      <c r="X13" s="9">
        <v>9554</v>
      </c>
      <c r="Y13" s="8">
        <v>53.57</v>
      </c>
      <c r="Z13" s="9">
        <v>17835</v>
      </c>
      <c r="AA13" s="8">
        <v>27.62</v>
      </c>
      <c r="AB13" s="9">
        <v>4223</v>
      </c>
      <c r="AC13" s="8">
        <v>46.09</v>
      </c>
      <c r="AD13" s="9">
        <v>4939</v>
      </c>
      <c r="AE13" s="8">
        <v>53.91</v>
      </c>
      <c r="AF13" s="9">
        <v>9162</v>
      </c>
      <c r="AG13" s="8">
        <v>14.19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9">
        <v>64582</v>
      </c>
    </row>
    <row r="14" spans="2:40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</row>
    <row r="15" spans="2:40"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</row>
    <row r="16" spans="2:40">
      <c r="B16" s="1" t="s">
        <v>41</v>
      </c>
      <c r="C16" s="1" t="s">
        <v>42</v>
      </c>
      <c r="D16" s="2" t="s">
        <v>43</v>
      </c>
    </row>
    <row r="17" spans="2:40">
      <c r="B17" s="1" t="s">
        <v>44</v>
      </c>
      <c r="C17" s="1" t="s">
        <v>42</v>
      </c>
      <c r="D17" s="2" t="s">
        <v>92</v>
      </c>
    </row>
    <row r="18" spans="2:40">
      <c r="B18" s="1" t="s">
        <v>1</v>
      </c>
      <c r="C18" s="1" t="s">
        <v>42</v>
      </c>
      <c r="D18" s="2" t="s">
        <v>94</v>
      </c>
    </row>
    <row r="19" spans="2:40">
      <c r="B19" s="1" t="s">
        <v>47</v>
      </c>
      <c r="C19" s="1" t="s">
        <v>42</v>
      </c>
      <c r="D19" s="3">
        <v>46184</v>
      </c>
    </row>
    <row r="20" spans="2:40">
      <c r="B20" s="89" t="s">
        <v>48</v>
      </c>
      <c r="C20" s="89" t="s">
        <v>49</v>
      </c>
      <c r="D20" s="83" t="s">
        <v>50</v>
      </c>
      <c r="E20" s="88"/>
      <c r="F20" s="88"/>
      <c r="G20" s="88"/>
      <c r="H20" s="88"/>
      <c r="I20" s="84"/>
      <c r="J20" s="83" t="s">
        <v>51</v>
      </c>
      <c r="K20" s="88"/>
      <c r="L20" s="88"/>
      <c r="M20" s="88"/>
      <c r="N20" s="88"/>
      <c r="O20" s="84"/>
      <c r="P20" s="83" t="s">
        <v>52</v>
      </c>
      <c r="Q20" s="88"/>
      <c r="R20" s="88"/>
      <c r="S20" s="88"/>
      <c r="T20" s="88"/>
      <c r="U20" s="84"/>
      <c r="V20" s="83" t="s">
        <v>53</v>
      </c>
      <c r="W20" s="88"/>
      <c r="X20" s="88"/>
      <c r="Y20" s="88"/>
      <c r="Z20" s="88"/>
      <c r="AA20" s="84"/>
      <c r="AB20" s="83" t="s">
        <v>54</v>
      </c>
      <c r="AC20" s="88"/>
      <c r="AD20" s="88"/>
      <c r="AE20" s="88"/>
      <c r="AF20" s="88"/>
      <c r="AG20" s="84"/>
      <c r="AH20" s="83" t="s">
        <v>55</v>
      </c>
      <c r="AI20" s="88"/>
      <c r="AJ20" s="88"/>
      <c r="AK20" s="88"/>
      <c r="AL20" s="88"/>
      <c r="AM20" s="84"/>
      <c r="AN20" s="89" t="s">
        <v>56</v>
      </c>
    </row>
    <row r="21" spans="2:40">
      <c r="B21" s="90"/>
      <c r="C21" s="90"/>
      <c r="D21" s="83" t="s">
        <v>57</v>
      </c>
      <c r="E21" s="84"/>
      <c r="F21" s="83" t="s">
        <v>58</v>
      </c>
      <c r="G21" s="84"/>
      <c r="H21" s="83" t="s">
        <v>56</v>
      </c>
      <c r="I21" s="84"/>
      <c r="J21" s="83" t="s">
        <v>57</v>
      </c>
      <c r="K21" s="84"/>
      <c r="L21" s="83" t="s">
        <v>58</v>
      </c>
      <c r="M21" s="84"/>
      <c r="N21" s="83" t="s">
        <v>56</v>
      </c>
      <c r="O21" s="84"/>
      <c r="P21" s="83" t="s">
        <v>57</v>
      </c>
      <c r="Q21" s="84"/>
      <c r="R21" s="83" t="s">
        <v>58</v>
      </c>
      <c r="S21" s="84"/>
      <c r="T21" s="83" t="s">
        <v>56</v>
      </c>
      <c r="U21" s="84"/>
      <c r="V21" s="83" t="s">
        <v>57</v>
      </c>
      <c r="W21" s="84"/>
      <c r="X21" s="83" t="s">
        <v>58</v>
      </c>
      <c r="Y21" s="84"/>
      <c r="Z21" s="83" t="s">
        <v>56</v>
      </c>
      <c r="AA21" s="84"/>
      <c r="AB21" s="83" t="s">
        <v>57</v>
      </c>
      <c r="AC21" s="84"/>
      <c r="AD21" s="83" t="s">
        <v>58</v>
      </c>
      <c r="AE21" s="84"/>
      <c r="AF21" s="83" t="s">
        <v>56</v>
      </c>
      <c r="AG21" s="84"/>
      <c r="AH21" s="83" t="s">
        <v>57</v>
      </c>
      <c r="AI21" s="84"/>
      <c r="AJ21" s="83" t="s">
        <v>58</v>
      </c>
      <c r="AK21" s="84"/>
      <c r="AL21" s="83" t="s">
        <v>56</v>
      </c>
      <c r="AM21" s="84"/>
      <c r="AN21" s="90"/>
    </row>
    <row r="22" spans="2:40">
      <c r="B22" s="91"/>
      <c r="C22" s="91"/>
      <c r="D22" s="4" t="s">
        <v>59</v>
      </c>
      <c r="E22" s="4" t="s">
        <v>60</v>
      </c>
      <c r="F22" s="4" t="s">
        <v>59</v>
      </c>
      <c r="G22" s="4" t="s">
        <v>60</v>
      </c>
      <c r="H22" s="4" t="s">
        <v>59</v>
      </c>
      <c r="I22" s="4" t="s">
        <v>60</v>
      </c>
      <c r="J22" s="4" t="s">
        <v>59</v>
      </c>
      <c r="K22" s="4" t="s">
        <v>60</v>
      </c>
      <c r="L22" s="4" t="s">
        <v>59</v>
      </c>
      <c r="M22" s="4" t="s">
        <v>60</v>
      </c>
      <c r="N22" s="4" t="s">
        <v>59</v>
      </c>
      <c r="O22" s="4" t="s">
        <v>60</v>
      </c>
      <c r="P22" s="4" t="s">
        <v>59</v>
      </c>
      <c r="Q22" s="4" t="s">
        <v>60</v>
      </c>
      <c r="R22" s="4" t="s">
        <v>59</v>
      </c>
      <c r="S22" s="4" t="s">
        <v>60</v>
      </c>
      <c r="T22" s="4" t="s">
        <v>59</v>
      </c>
      <c r="U22" s="4" t="s">
        <v>60</v>
      </c>
      <c r="V22" s="4" t="s">
        <v>59</v>
      </c>
      <c r="W22" s="4" t="s">
        <v>60</v>
      </c>
      <c r="X22" s="4" t="s">
        <v>59</v>
      </c>
      <c r="Y22" s="4" t="s">
        <v>60</v>
      </c>
      <c r="Z22" s="4" t="s">
        <v>59</v>
      </c>
      <c r="AA22" s="4" t="s">
        <v>60</v>
      </c>
      <c r="AB22" s="4" t="s">
        <v>59</v>
      </c>
      <c r="AC22" s="4" t="s">
        <v>60</v>
      </c>
      <c r="AD22" s="4" t="s">
        <v>59</v>
      </c>
      <c r="AE22" s="4" t="s">
        <v>60</v>
      </c>
      <c r="AF22" s="4" t="s">
        <v>59</v>
      </c>
      <c r="AG22" s="4" t="s">
        <v>60</v>
      </c>
      <c r="AH22" s="4" t="s">
        <v>59</v>
      </c>
      <c r="AI22" s="4" t="s">
        <v>60</v>
      </c>
      <c r="AJ22" s="4" t="s">
        <v>59</v>
      </c>
      <c r="AK22" s="4" t="s">
        <v>60</v>
      </c>
      <c r="AL22" s="4" t="s">
        <v>59</v>
      </c>
      <c r="AM22" s="4" t="s">
        <v>60</v>
      </c>
      <c r="AN22" s="91"/>
    </row>
    <row r="23" spans="2:40">
      <c r="B23" s="5">
        <v>1</v>
      </c>
      <c r="C23" s="6" t="s">
        <v>61</v>
      </c>
      <c r="D23" s="5">
        <v>624</v>
      </c>
      <c r="E23" s="5">
        <v>52.75</v>
      </c>
      <c r="F23" s="5">
        <v>559</v>
      </c>
      <c r="G23" s="5">
        <v>47.25</v>
      </c>
      <c r="H23" s="7">
        <v>1183</v>
      </c>
      <c r="I23" s="5">
        <v>5.34</v>
      </c>
      <c r="J23" s="7">
        <v>1248</v>
      </c>
      <c r="K23" s="5">
        <v>48.94</v>
      </c>
      <c r="L23" s="7">
        <v>1302</v>
      </c>
      <c r="M23" s="5">
        <v>51.06</v>
      </c>
      <c r="N23" s="7">
        <v>2550</v>
      </c>
      <c r="O23" s="5">
        <v>11.51</v>
      </c>
      <c r="P23" s="7">
        <v>3978</v>
      </c>
      <c r="Q23" s="5">
        <v>50.79</v>
      </c>
      <c r="R23" s="7">
        <v>3855</v>
      </c>
      <c r="S23" s="5">
        <v>49.21</v>
      </c>
      <c r="T23" s="7">
        <v>7833</v>
      </c>
      <c r="U23" s="5">
        <v>35.35</v>
      </c>
      <c r="V23" s="7">
        <v>3107</v>
      </c>
      <c r="W23" s="5">
        <v>48.65</v>
      </c>
      <c r="X23" s="7">
        <v>3279</v>
      </c>
      <c r="Y23" s="5">
        <v>51.35</v>
      </c>
      <c r="Z23" s="7">
        <v>6386</v>
      </c>
      <c r="AA23" s="5">
        <v>28.82</v>
      </c>
      <c r="AB23" s="7">
        <v>1821</v>
      </c>
      <c r="AC23" s="5">
        <v>43.31</v>
      </c>
      <c r="AD23" s="7">
        <v>2384</v>
      </c>
      <c r="AE23" s="5">
        <v>56.69</v>
      </c>
      <c r="AF23" s="7">
        <v>4205</v>
      </c>
      <c r="AG23" s="5">
        <v>18.98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7">
        <v>22157</v>
      </c>
    </row>
    <row r="24" spans="2:40">
      <c r="B24" s="5">
        <v>2</v>
      </c>
      <c r="C24" s="6" t="s">
        <v>62</v>
      </c>
      <c r="D24" s="5">
        <v>38</v>
      </c>
      <c r="E24" s="5">
        <v>51.35</v>
      </c>
      <c r="F24" s="5">
        <v>36</v>
      </c>
      <c r="G24" s="5">
        <v>48.65</v>
      </c>
      <c r="H24" s="5">
        <v>74</v>
      </c>
      <c r="I24" s="5">
        <v>3.96</v>
      </c>
      <c r="J24" s="5">
        <v>102</v>
      </c>
      <c r="K24" s="5">
        <v>52.85</v>
      </c>
      <c r="L24" s="5">
        <v>91</v>
      </c>
      <c r="M24" s="5">
        <v>47.15</v>
      </c>
      <c r="N24" s="5">
        <v>193</v>
      </c>
      <c r="O24" s="5">
        <v>10.33</v>
      </c>
      <c r="P24" s="5">
        <v>246</v>
      </c>
      <c r="Q24" s="5">
        <v>51.79</v>
      </c>
      <c r="R24" s="5">
        <v>229</v>
      </c>
      <c r="S24" s="5">
        <v>48.21</v>
      </c>
      <c r="T24" s="5">
        <v>475</v>
      </c>
      <c r="U24" s="5">
        <v>25.43</v>
      </c>
      <c r="V24" s="5">
        <v>298</v>
      </c>
      <c r="W24" s="5">
        <v>51.56</v>
      </c>
      <c r="X24" s="5">
        <v>280</v>
      </c>
      <c r="Y24" s="5">
        <v>48.44</v>
      </c>
      <c r="Z24" s="5">
        <v>578</v>
      </c>
      <c r="AA24" s="5">
        <v>30.94</v>
      </c>
      <c r="AB24" s="5">
        <v>259</v>
      </c>
      <c r="AC24" s="5">
        <v>47.26</v>
      </c>
      <c r="AD24" s="5">
        <v>289</v>
      </c>
      <c r="AE24" s="5">
        <v>52.74</v>
      </c>
      <c r="AF24" s="5">
        <v>548</v>
      </c>
      <c r="AG24" s="5">
        <v>29.34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7">
        <v>1868</v>
      </c>
    </row>
    <row r="25" spans="2:40">
      <c r="B25" s="5">
        <v>3</v>
      </c>
      <c r="C25" s="6" t="s">
        <v>63</v>
      </c>
      <c r="D25" s="5">
        <v>64</v>
      </c>
      <c r="E25" s="5">
        <v>57.66</v>
      </c>
      <c r="F25" s="5">
        <v>47</v>
      </c>
      <c r="G25" s="5">
        <v>42.34</v>
      </c>
      <c r="H25" s="5">
        <v>111</v>
      </c>
      <c r="I25" s="5">
        <v>4.5999999999999996</v>
      </c>
      <c r="J25" s="5">
        <v>114</v>
      </c>
      <c r="K25" s="5">
        <v>46.34</v>
      </c>
      <c r="L25" s="5">
        <v>132</v>
      </c>
      <c r="M25" s="5">
        <v>53.66</v>
      </c>
      <c r="N25" s="5">
        <v>246</v>
      </c>
      <c r="O25" s="5">
        <v>10.19</v>
      </c>
      <c r="P25" s="5">
        <v>389</v>
      </c>
      <c r="Q25" s="5">
        <v>48.69</v>
      </c>
      <c r="R25" s="5">
        <v>410</v>
      </c>
      <c r="S25" s="5">
        <v>51.31</v>
      </c>
      <c r="T25" s="5">
        <v>799</v>
      </c>
      <c r="U25" s="5">
        <v>33.1</v>
      </c>
      <c r="V25" s="5">
        <v>367</v>
      </c>
      <c r="W25" s="5">
        <v>44.92</v>
      </c>
      <c r="X25" s="5">
        <v>450</v>
      </c>
      <c r="Y25" s="5">
        <v>55.08</v>
      </c>
      <c r="Z25" s="5">
        <v>817</v>
      </c>
      <c r="AA25" s="5">
        <v>33.840000000000003</v>
      </c>
      <c r="AB25" s="5">
        <v>187</v>
      </c>
      <c r="AC25" s="5">
        <v>42.4</v>
      </c>
      <c r="AD25" s="5">
        <v>254</v>
      </c>
      <c r="AE25" s="5">
        <v>57.6</v>
      </c>
      <c r="AF25" s="5">
        <v>441</v>
      </c>
      <c r="AG25" s="5">
        <v>18.27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7">
        <v>2414</v>
      </c>
    </row>
    <row r="26" spans="2:40">
      <c r="B26" s="5">
        <v>4</v>
      </c>
      <c r="C26" s="6" t="s">
        <v>64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</v>
      </c>
      <c r="Q26" s="5">
        <v>100</v>
      </c>
      <c r="R26" s="5">
        <v>0</v>
      </c>
      <c r="S26" s="5">
        <v>0</v>
      </c>
      <c r="T26" s="5">
        <v>1</v>
      </c>
      <c r="U26" s="5">
        <v>100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1</v>
      </c>
    </row>
    <row r="27" spans="2:40">
      <c r="B27" s="85" t="s">
        <v>56</v>
      </c>
      <c r="C27" s="86"/>
      <c r="D27" s="8">
        <v>726</v>
      </c>
      <c r="E27" s="8">
        <v>53.07</v>
      </c>
      <c r="F27" s="8">
        <v>642</v>
      </c>
      <c r="G27" s="8">
        <v>46.93</v>
      </c>
      <c r="H27" s="9">
        <v>1368</v>
      </c>
      <c r="I27" s="8">
        <v>5.17</v>
      </c>
      <c r="J27" s="9">
        <v>1464</v>
      </c>
      <c r="K27" s="8">
        <v>48.98</v>
      </c>
      <c r="L27" s="9">
        <v>1525</v>
      </c>
      <c r="M27" s="8">
        <v>51.02</v>
      </c>
      <c r="N27" s="9">
        <v>2989</v>
      </c>
      <c r="O27" s="8">
        <v>11.3</v>
      </c>
      <c r="P27" s="9">
        <v>4614</v>
      </c>
      <c r="Q27" s="8">
        <v>50.66</v>
      </c>
      <c r="R27" s="9">
        <v>4494</v>
      </c>
      <c r="S27" s="8">
        <v>49.34</v>
      </c>
      <c r="T27" s="9">
        <v>9108</v>
      </c>
      <c r="U27" s="8">
        <v>34.450000000000003</v>
      </c>
      <c r="V27" s="9">
        <v>3772</v>
      </c>
      <c r="W27" s="8">
        <v>48.48</v>
      </c>
      <c r="X27" s="9">
        <v>4009</v>
      </c>
      <c r="Y27" s="8">
        <v>51.52</v>
      </c>
      <c r="Z27" s="9">
        <v>7781</v>
      </c>
      <c r="AA27" s="8">
        <v>29.43</v>
      </c>
      <c r="AB27" s="9">
        <v>2267</v>
      </c>
      <c r="AC27" s="8">
        <v>43.65</v>
      </c>
      <c r="AD27" s="9">
        <v>2927</v>
      </c>
      <c r="AE27" s="8">
        <v>56.35</v>
      </c>
      <c r="AF27" s="9">
        <v>5194</v>
      </c>
      <c r="AG27" s="8">
        <v>19.64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9">
        <v>26440</v>
      </c>
    </row>
    <row r="28" spans="2:40"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</row>
    <row r="29" spans="2:40"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</row>
    <row r="30" spans="2:40">
      <c r="B30" s="1" t="s">
        <v>41</v>
      </c>
      <c r="C30" s="1" t="s">
        <v>42</v>
      </c>
      <c r="D30" s="2" t="s">
        <v>43</v>
      </c>
    </row>
    <row r="31" spans="2:40">
      <c r="B31" s="1" t="s">
        <v>44</v>
      </c>
      <c r="C31" s="1" t="s">
        <v>42</v>
      </c>
      <c r="D31" s="2" t="s">
        <v>92</v>
      </c>
    </row>
    <row r="32" spans="2:40">
      <c r="B32" s="1" t="s">
        <v>1</v>
      </c>
      <c r="C32" s="1" t="s">
        <v>42</v>
      </c>
      <c r="D32" s="2" t="s">
        <v>95</v>
      </c>
    </row>
    <row r="33" spans="2:40">
      <c r="B33" s="1" t="s">
        <v>47</v>
      </c>
      <c r="C33" s="1" t="s">
        <v>42</v>
      </c>
      <c r="D33" s="3">
        <v>46184</v>
      </c>
    </row>
    <row r="34" spans="2:40">
      <c r="B34" s="89" t="s">
        <v>48</v>
      </c>
      <c r="C34" s="89" t="s">
        <v>49</v>
      </c>
      <c r="D34" s="83" t="s">
        <v>50</v>
      </c>
      <c r="E34" s="88"/>
      <c r="F34" s="88"/>
      <c r="G34" s="88"/>
      <c r="H34" s="88"/>
      <c r="I34" s="84"/>
      <c r="J34" s="83" t="s">
        <v>51</v>
      </c>
      <c r="K34" s="88"/>
      <c r="L34" s="88"/>
      <c r="M34" s="88"/>
      <c r="N34" s="88"/>
      <c r="O34" s="84"/>
      <c r="P34" s="83" t="s">
        <v>52</v>
      </c>
      <c r="Q34" s="88"/>
      <c r="R34" s="88"/>
      <c r="S34" s="88"/>
      <c r="T34" s="88"/>
      <c r="U34" s="84"/>
      <c r="V34" s="83" t="s">
        <v>53</v>
      </c>
      <c r="W34" s="88"/>
      <c r="X34" s="88"/>
      <c r="Y34" s="88"/>
      <c r="Z34" s="88"/>
      <c r="AA34" s="84"/>
      <c r="AB34" s="83" t="s">
        <v>54</v>
      </c>
      <c r="AC34" s="88"/>
      <c r="AD34" s="88"/>
      <c r="AE34" s="88"/>
      <c r="AF34" s="88"/>
      <c r="AG34" s="84"/>
      <c r="AH34" s="83" t="s">
        <v>55</v>
      </c>
      <c r="AI34" s="88"/>
      <c r="AJ34" s="88"/>
      <c r="AK34" s="88"/>
      <c r="AL34" s="88"/>
      <c r="AM34" s="84"/>
      <c r="AN34" s="89" t="s">
        <v>56</v>
      </c>
    </row>
    <row r="35" spans="2:40">
      <c r="B35" s="90"/>
      <c r="C35" s="90"/>
      <c r="D35" s="83" t="s">
        <v>57</v>
      </c>
      <c r="E35" s="84"/>
      <c r="F35" s="83" t="s">
        <v>58</v>
      </c>
      <c r="G35" s="84"/>
      <c r="H35" s="83" t="s">
        <v>56</v>
      </c>
      <c r="I35" s="84"/>
      <c r="J35" s="83" t="s">
        <v>57</v>
      </c>
      <c r="K35" s="84"/>
      <c r="L35" s="83" t="s">
        <v>58</v>
      </c>
      <c r="M35" s="84"/>
      <c r="N35" s="83" t="s">
        <v>56</v>
      </c>
      <c r="O35" s="84"/>
      <c r="P35" s="83" t="s">
        <v>57</v>
      </c>
      <c r="Q35" s="84"/>
      <c r="R35" s="83" t="s">
        <v>58</v>
      </c>
      <c r="S35" s="84"/>
      <c r="T35" s="83" t="s">
        <v>56</v>
      </c>
      <c r="U35" s="84"/>
      <c r="V35" s="83" t="s">
        <v>57</v>
      </c>
      <c r="W35" s="84"/>
      <c r="X35" s="83" t="s">
        <v>58</v>
      </c>
      <c r="Y35" s="84"/>
      <c r="Z35" s="83" t="s">
        <v>56</v>
      </c>
      <c r="AA35" s="84"/>
      <c r="AB35" s="83" t="s">
        <v>57</v>
      </c>
      <c r="AC35" s="84"/>
      <c r="AD35" s="83" t="s">
        <v>58</v>
      </c>
      <c r="AE35" s="84"/>
      <c r="AF35" s="83" t="s">
        <v>56</v>
      </c>
      <c r="AG35" s="84"/>
      <c r="AH35" s="83" t="s">
        <v>57</v>
      </c>
      <c r="AI35" s="84"/>
      <c r="AJ35" s="83" t="s">
        <v>58</v>
      </c>
      <c r="AK35" s="84"/>
      <c r="AL35" s="83" t="s">
        <v>56</v>
      </c>
      <c r="AM35" s="84"/>
      <c r="AN35" s="90"/>
    </row>
    <row r="36" spans="2:40">
      <c r="B36" s="91"/>
      <c r="C36" s="91"/>
      <c r="D36" s="4" t="s">
        <v>59</v>
      </c>
      <c r="E36" s="4" t="s">
        <v>60</v>
      </c>
      <c r="F36" s="4" t="s">
        <v>59</v>
      </c>
      <c r="G36" s="4" t="s">
        <v>60</v>
      </c>
      <c r="H36" s="4" t="s">
        <v>59</v>
      </c>
      <c r="I36" s="4" t="s">
        <v>60</v>
      </c>
      <c r="J36" s="4" t="s">
        <v>59</v>
      </c>
      <c r="K36" s="4" t="s">
        <v>60</v>
      </c>
      <c r="L36" s="4" t="s">
        <v>59</v>
      </c>
      <c r="M36" s="4" t="s">
        <v>60</v>
      </c>
      <c r="N36" s="4" t="s">
        <v>59</v>
      </c>
      <c r="O36" s="4" t="s">
        <v>60</v>
      </c>
      <c r="P36" s="4" t="s">
        <v>59</v>
      </c>
      <c r="Q36" s="4" t="s">
        <v>60</v>
      </c>
      <c r="R36" s="4" t="s">
        <v>59</v>
      </c>
      <c r="S36" s="4" t="s">
        <v>60</v>
      </c>
      <c r="T36" s="4" t="s">
        <v>59</v>
      </c>
      <c r="U36" s="4" t="s">
        <v>60</v>
      </c>
      <c r="V36" s="4" t="s">
        <v>59</v>
      </c>
      <c r="W36" s="4" t="s">
        <v>60</v>
      </c>
      <c r="X36" s="4" t="s">
        <v>59</v>
      </c>
      <c r="Y36" s="4" t="s">
        <v>60</v>
      </c>
      <c r="Z36" s="4" t="s">
        <v>59</v>
      </c>
      <c r="AA36" s="4" t="s">
        <v>60</v>
      </c>
      <c r="AB36" s="4" t="s">
        <v>59</v>
      </c>
      <c r="AC36" s="4" t="s">
        <v>60</v>
      </c>
      <c r="AD36" s="4" t="s">
        <v>59</v>
      </c>
      <c r="AE36" s="4" t="s">
        <v>60</v>
      </c>
      <c r="AF36" s="4" t="s">
        <v>59</v>
      </c>
      <c r="AG36" s="4" t="s">
        <v>60</v>
      </c>
      <c r="AH36" s="4" t="s">
        <v>59</v>
      </c>
      <c r="AI36" s="4" t="s">
        <v>60</v>
      </c>
      <c r="AJ36" s="4" t="s">
        <v>59</v>
      </c>
      <c r="AK36" s="4" t="s">
        <v>60</v>
      </c>
      <c r="AL36" s="4" t="s">
        <v>59</v>
      </c>
      <c r="AM36" s="4" t="s">
        <v>60</v>
      </c>
      <c r="AN36" s="91"/>
    </row>
    <row r="37" spans="2:40">
      <c r="B37" s="5">
        <v>1</v>
      </c>
      <c r="C37" s="6" t="s">
        <v>61</v>
      </c>
      <c r="D37" s="5">
        <v>596</v>
      </c>
      <c r="E37" s="5">
        <v>48.14</v>
      </c>
      <c r="F37" s="5">
        <v>642</v>
      </c>
      <c r="G37" s="5">
        <v>51.86</v>
      </c>
      <c r="H37" s="7">
        <v>1238</v>
      </c>
      <c r="I37" s="5">
        <v>6.16</v>
      </c>
      <c r="J37" s="7">
        <v>1208</v>
      </c>
      <c r="K37" s="5">
        <v>53.12</v>
      </c>
      <c r="L37" s="7">
        <v>1066</v>
      </c>
      <c r="M37" s="5">
        <v>46.88</v>
      </c>
      <c r="N37" s="7">
        <v>2274</v>
      </c>
      <c r="O37" s="5">
        <v>11.32</v>
      </c>
      <c r="P37" s="7">
        <v>3525</v>
      </c>
      <c r="Q37" s="5">
        <v>51.05</v>
      </c>
      <c r="R37" s="7">
        <v>3380</v>
      </c>
      <c r="S37" s="5">
        <v>48.95</v>
      </c>
      <c r="T37" s="7">
        <v>6905</v>
      </c>
      <c r="U37" s="5">
        <v>34.380000000000003</v>
      </c>
      <c r="V37" s="7">
        <v>3292</v>
      </c>
      <c r="W37" s="5">
        <v>50.72</v>
      </c>
      <c r="X37" s="7">
        <v>3199</v>
      </c>
      <c r="Y37" s="5">
        <v>49.28</v>
      </c>
      <c r="Z37" s="7">
        <v>6491</v>
      </c>
      <c r="AA37" s="5">
        <v>32.32</v>
      </c>
      <c r="AB37" s="7">
        <v>1415</v>
      </c>
      <c r="AC37" s="5">
        <v>44.52</v>
      </c>
      <c r="AD37" s="7">
        <v>1763</v>
      </c>
      <c r="AE37" s="5">
        <v>55.48</v>
      </c>
      <c r="AF37" s="7">
        <v>3178</v>
      </c>
      <c r="AG37" s="5">
        <v>15.82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7">
        <v>20086</v>
      </c>
    </row>
    <row r="38" spans="2:40">
      <c r="B38" s="5">
        <v>2</v>
      </c>
      <c r="C38" s="6" t="s">
        <v>62</v>
      </c>
      <c r="D38" s="5">
        <v>175</v>
      </c>
      <c r="E38" s="5">
        <v>54.18</v>
      </c>
      <c r="F38" s="5">
        <v>148</v>
      </c>
      <c r="G38" s="5">
        <v>45.82</v>
      </c>
      <c r="H38" s="5">
        <v>323</v>
      </c>
      <c r="I38" s="5">
        <v>5.68</v>
      </c>
      <c r="J38" s="5">
        <v>295</v>
      </c>
      <c r="K38" s="5">
        <v>52.3</v>
      </c>
      <c r="L38" s="5">
        <v>269</v>
      </c>
      <c r="M38" s="5">
        <v>47.7</v>
      </c>
      <c r="N38" s="5">
        <v>564</v>
      </c>
      <c r="O38" s="5">
        <v>9.91</v>
      </c>
      <c r="P38" s="5">
        <v>834</v>
      </c>
      <c r="Q38" s="5">
        <v>52.52</v>
      </c>
      <c r="R38" s="5">
        <v>754</v>
      </c>
      <c r="S38" s="5">
        <v>47.48</v>
      </c>
      <c r="T38" s="7">
        <v>1588</v>
      </c>
      <c r="U38" s="5">
        <v>27.91</v>
      </c>
      <c r="V38" s="7">
        <v>1009</v>
      </c>
      <c r="W38" s="5">
        <v>53.27</v>
      </c>
      <c r="X38" s="5">
        <v>885</v>
      </c>
      <c r="Y38" s="5">
        <v>46.73</v>
      </c>
      <c r="Z38" s="7">
        <v>1894</v>
      </c>
      <c r="AA38" s="5">
        <v>33.29</v>
      </c>
      <c r="AB38" s="5">
        <v>660</v>
      </c>
      <c r="AC38" s="5">
        <v>49.96</v>
      </c>
      <c r="AD38" s="5">
        <v>661</v>
      </c>
      <c r="AE38" s="5">
        <v>50.04</v>
      </c>
      <c r="AF38" s="7">
        <v>1321</v>
      </c>
      <c r="AG38" s="5">
        <v>23.22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7">
        <v>5690</v>
      </c>
    </row>
    <row r="39" spans="2:40">
      <c r="B39" s="5">
        <v>3</v>
      </c>
      <c r="C39" s="6" t="s">
        <v>63</v>
      </c>
      <c r="D39" s="5">
        <v>216</v>
      </c>
      <c r="E39" s="5">
        <v>48.98</v>
      </c>
      <c r="F39" s="5">
        <v>225</v>
      </c>
      <c r="G39" s="5">
        <v>51.02</v>
      </c>
      <c r="H39" s="5">
        <v>441</v>
      </c>
      <c r="I39" s="5">
        <v>4.9800000000000004</v>
      </c>
      <c r="J39" s="5">
        <v>465</v>
      </c>
      <c r="K39" s="5">
        <v>52.19</v>
      </c>
      <c r="L39" s="5">
        <v>426</v>
      </c>
      <c r="M39" s="5">
        <v>47.81</v>
      </c>
      <c r="N39" s="5">
        <v>891</v>
      </c>
      <c r="O39" s="5">
        <v>10.07</v>
      </c>
      <c r="P39" s="7">
        <v>1585</v>
      </c>
      <c r="Q39" s="5">
        <v>50.98</v>
      </c>
      <c r="R39" s="7">
        <v>1524</v>
      </c>
      <c r="S39" s="5">
        <v>49.02</v>
      </c>
      <c r="T39" s="7">
        <v>3109</v>
      </c>
      <c r="U39" s="5">
        <v>35.119999999999997</v>
      </c>
      <c r="V39" s="7">
        <v>1394</v>
      </c>
      <c r="W39" s="5">
        <v>48.19</v>
      </c>
      <c r="X39" s="7">
        <v>1499</v>
      </c>
      <c r="Y39" s="5">
        <v>51.81</v>
      </c>
      <c r="Z39" s="7">
        <v>2893</v>
      </c>
      <c r="AA39" s="5">
        <v>32.68</v>
      </c>
      <c r="AB39" s="5">
        <v>629</v>
      </c>
      <c r="AC39" s="5">
        <v>41.44</v>
      </c>
      <c r="AD39" s="5">
        <v>889</v>
      </c>
      <c r="AE39" s="5">
        <v>58.56</v>
      </c>
      <c r="AF39" s="7">
        <v>1518</v>
      </c>
      <c r="AG39" s="5">
        <v>17.149999999999999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7">
        <v>8852</v>
      </c>
    </row>
    <row r="40" spans="2:40">
      <c r="B40" s="5">
        <v>4</v>
      </c>
      <c r="C40" s="6" t="s">
        <v>64</v>
      </c>
      <c r="D40" s="5">
        <v>1</v>
      </c>
      <c r="E40" s="5">
        <v>50</v>
      </c>
      <c r="F40" s="5">
        <v>1</v>
      </c>
      <c r="G40" s="5">
        <v>50</v>
      </c>
      <c r="H40" s="5">
        <v>2</v>
      </c>
      <c r="I40" s="5">
        <v>25</v>
      </c>
      <c r="J40" s="5">
        <v>2</v>
      </c>
      <c r="K40" s="5">
        <v>100</v>
      </c>
      <c r="L40" s="5">
        <v>0</v>
      </c>
      <c r="M40" s="5">
        <v>0</v>
      </c>
      <c r="N40" s="5">
        <v>2</v>
      </c>
      <c r="O40" s="5">
        <v>25</v>
      </c>
      <c r="P40" s="5">
        <v>1</v>
      </c>
      <c r="Q40" s="5">
        <v>50</v>
      </c>
      <c r="R40" s="5">
        <v>1</v>
      </c>
      <c r="S40" s="5">
        <v>50</v>
      </c>
      <c r="T40" s="5">
        <v>2</v>
      </c>
      <c r="U40" s="5">
        <v>25</v>
      </c>
      <c r="V40" s="5">
        <v>1</v>
      </c>
      <c r="W40" s="5">
        <v>100</v>
      </c>
      <c r="X40" s="5">
        <v>0</v>
      </c>
      <c r="Y40" s="5">
        <v>0</v>
      </c>
      <c r="Z40" s="5">
        <v>1</v>
      </c>
      <c r="AA40" s="5">
        <v>12.5</v>
      </c>
      <c r="AB40" s="5">
        <v>0</v>
      </c>
      <c r="AC40" s="5">
        <v>0</v>
      </c>
      <c r="AD40" s="5">
        <v>1</v>
      </c>
      <c r="AE40" s="5">
        <v>100</v>
      </c>
      <c r="AF40" s="5">
        <v>1</v>
      </c>
      <c r="AG40" s="5">
        <v>12.5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8</v>
      </c>
    </row>
    <row r="41" spans="2:40">
      <c r="B41" s="85" t="s">
        <v>56</v>
      </c>
      <c r="C41" s="86"/>
      <c r="D41" s="8">
        <v>988</v>
      </c>
      <c r="E41" s="8">
        <v>49.3</v>
      </c>
      <c r="F41" s="9">
        <v>1016</v>
      </c>
      <c r="G41" s="8">
        <v>50.7</v>
      </c>
      <c r="H41" s="9">
        <v>2004</v>
      </c>
      <c r="I41" s="8">
        <v>5.79</v>
      </c>
      <c r="J41" s="9">
        <v>1970</v>
      </c>
      <c r="K41" s="8">
        <v>52.8</v>
      </c>
      <c r="L41" s="9">
        <v>1761</v>
      </c>
      <c r="M41" s="8">
        <v>47.2</v>
      </c>
      <c r="N41" s="9">
        <v>3731</v>
      </c>
      <c r="O41" s="8">
        <v>10.77</v>
      </c>
      <c r="P41" s="9">
        <v>5945</v>
      </c>
      <c r="Q41" s="8">
        <v>51.23</v>
      </c>
      <c r="R41" s="9">
        <v>5659</v>
      </c>
      <c r="S41" s="8">
        <v>48.77</v>
      </c>
      <c r="T41" s="9">
        <v>11604</v>
      </c>
      <c r="U41" s="8">
        <v>33.5</v>
      </c>
      <c r="V41" s="9">
        <v>5696</v>
      </c>
      <c r="W41" s="8">
        <v>50.5</v>
      </c>
      <c r="X41" s="9">
        <v>5583</v>
      </c>
      <c r="Y41" s="8">
        <v>49.5</v>
      </c>
      <c r="Z41" s="9">
        <v>11279</v>
      </c>
      <c r="AA41" s="8">
        <v>32.56</v>
      </c>
      <c r="AB41" s="9">
        <v>2704</v>
      </c>
      <c r="AC41" s="8">
        <v>44.93</v>
      </c>
      <c r="AD41" s="9">
        <v>3314</v>
      </c>
      <c r="AE41" s="8">
        <v>55.07</v>
      </c>
      <c r="AF41" s="9">
        <v>6018</v>
      </c>
      <c r="AG41" s="8">
        <v>17.37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9">
        <v>34636</v>
      </c>
    </row>
    <row r="42" spans="2:40"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  <c r="AM42" s="82"/>
      <c r="AN42" s="82"/>
    </row>
    <row r="43" spans="2:40"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</row>
    <row r="44" spans="2:40">
      <c r="B44" s="1" t="s">
        <v>41</v>
      </c>
      <c r="C44" s="1" t="s">
        <v>42</v>
      </c>
      <c r="D44" s="2" t="s">
        <v>43</v>
      </c>
    </row>
    <row r="45" spans="2:40">
      <c r="B45" s="1" t="s">
        <v>44</v>
      </c>
      <c r="C45" s="1" t="s">
        <v>42</v>
      </c>
      <c r="D45" s="2" t="s">
        <v>92</v>
      </c>
    </row>
    <row r="46" spans="2:40">
      <c r="B46" s="1" t="s">
        <v>1</v>
      </c>
      <c r="C46" s="1" t="s">
        <v>42</v>
      </c>
      <c r="D46" s="2" t="s">
        <v>96</v>
      </c>
    </row>
    <row r="47" spans="2:40">
      <c r="B47" s="1" t="s">
        <v>47</v>
      </c>
      <c r="C47" s="1" t="s">
        <v>42</v>
      </c>
      <c r="D47" s="3">
        <v>46184</v>
      </c>
    </row>
    <row r="48" spans="2:40">
      <c r="B48" s="89" t="s">
        <v>48</v>
      </c>
      <c r="C48" s="89" t="s">
        <v>49</v>
      </c>
      <c r="D48" s="83" t="s">
        <v>50</v>
      </c>
      <c r="E48" s="88"/>
      <c r="F48" s="88"/>
      <c r="G48" s="88"/>
      <c r="H48" s="88"/>
      <c r="I48" s="84"/>
      <c r="J48" s="83" t="s">
        <v>51</v>
      </c>
      <c r="K48" s="88"/>
      <c r="L48" s="88"/>
      <c r="M48" s="88"/>
      <c r="N48" s="88"/>
      <c r="O48" s="84"/>
      <c r="P48" s="83" t="s">
        <v>52</v>
      </c>
      <c r="Q48" s="88"/>
      <c r="R48" s="88"/>
      <c r="S48" s="88"/>
      <c r="T48" s="88"/>
      <c r="U48" s="84"/>
      <c r="V48" s="83" t="s">
        <v>53</v>
      </c>
      <c r="W48" s="88"/>
      <c r="X48" s="88"/>
      <c r="Y48" s="88"/>
      <c r="Z48" s="88"/>
      <c r="AA48" s="84"/>
      <c r="AB48" s="83" t="s">
        <v>54</v>
      </c>
      <c r="AC48" s="88"/>
      <c r="AD48" s="88"/>
      <c r="AE48" s="88"/>
      <c r="AF48" s="88"/>
      <c r="AG48" s="84"/>
      <c r="AH48" s="83" t="s">
        <v>55</v>
      </c>
      <c r="AI48" s="88"/>
      <c r="AJ48" s="88"/>
      <c r="AK48" s="88"/>
      <c r="AL48" s="88"/>
      <c r="AM48" s="84"/>
      <c r="AN48" s="89" t="s">
        <v>56</v>
      </c>
    </row>
    <row r="49" spans="2:40">
      <c r="B49" s="90"/>
      <c r="C49" s="90"/>
      <c r="D49" s="83" t="s">
        <v>57</v>
      </c>
      <c r="E49" s="84"/>
      <c r="F49" s="83" t="s">
        <v>58</v>
      </c>
      <c r="G49" s="84"/>
      <c r="H49" s="83" t="s">
        <v>56</v>
      </c>
      <c r="I49" s="84"/>
      <c r="J49" s="83" t="s">
        <v>57</v>
      </c>
      <c r="K49" s="84"/>
      <c r="L49" s="83" t="s">
        <v>58</v>
      </c>
      <c r="M49" s="84"/>
      <c r="N49" s="83" t="s">
        <v>56</v>
      </c>
      <c r="O49" s="84"/>
      <c r="P49" s="83" t="s">
        <v>57</v>
      </c>
      <c r="Q49" s="84"/>
      <c r="R49" s="83" t="s">
        <v>58</v>
      </c>
      <c r="S49" s="84"/>
      <c r="T49" s="83" t="s">
        <v>56</v>
      </c>
      <c r="U49" s="84"/>
      <c r="V49" s="83" t="s">
        <v>57</v>
      </c>
      <c r="W49" s="84"/>
      <c r="X49" s="83" t="s">
        <v>58</v>
      </c>
      <c r="Y49" s="84"/>
      <c r="Z49" s="83" t="s">
        <v>56</v>
      </c>
      <c r="AA49" s="84"/>
      <c r="AB49" s="83" t="s">
        <v>57</v>
      </c>
      <c r="AC49" s="84"/>
      <c r="AD49" s="83" t="s">
        <v>58</v>
      </c>
      <c r="AE49" s="84"/>
      <c r="AF49" s="83" t="s">
        <v>56</v>
      </c>
      <c r="AG49" s="84"/>
      <c r="AH49" s="83" t="s">
        <v>57</v>
      </c>
      <c r="AI49" s="84"/>
      <c r="AJ49" s="83" t="s">
        <v>58</v>
      </c>
      <c r="AK49" s="84"/>
      <c r="AL49" s="83" t="s">
        <v>56</v>
      </c>
      <c r="AM49" s="84"/>
      <c r="AN49" s="90"/>
    </row>
    <row r="50" spans="2:40">
      <c r="B50" s="91"/>
      <c r="C50" s="91"/>
      <c r="D50" s="4" t="s">
        <v>59</v>
      </c>
      <c r="E50" s="4" t="s">
        <v>60</v>
      </c>
      <c r="F50" s="4" t="s">
        <v>59</v>
      </c>
      <c r="G50" s="4" t="s">
        <v>60</v>
      </c>
      <c r="H50" s="4" t="s">
        <v>59</v>
      </c>
      <c r="I50" s="4" t="s">
        <v>60</v>
      </c>
      <c r="J50" s="4" t="s">
        <v>59</v>
      </c>
      <c r="K50" s="4" t="s">
        <v>60</v>
      </c>
      <c r="L50" s="4" t="s">
        <v>59</v>
      </c>
      <c r="M50" s="4" t="s">
        <v>60</v>
      </c>
      <c r="N50" s="4" t="s">
        <v>59</v>
      </c>
      <c r="O50" s="4" t="s">
        <v>60</v>
      </c>
      <c r="P50" s="4" t="s">
        <v>59</v>
      </c>
      <c r="Q50" s="4" t="s">
        <v>60</v>
      </c>
      <c r="R50" s="4" t="s">
        <v>59</v>
      </c>
      <c r="S50" s="4" t="s">
        <v>60</v>
      </c>
      <c r="T50" s="4" t="s">
        <v>59</v>
      </c>
      <c r="U50" s="4" t="s">
        <v>60</v>
      </c>
      <c r="V50" s="4" t="s">
        <v>59</v>
      </c>
      <c r="W50" s="4" t="s">
        <v>60</v>
      </c>
      <c r="X50" s="4" t="s">
        <v>59</v>
      </c>
      <c r="Y50" s="4" t="s">
        <v>60</v>
      </c>
      <c r="Z50" s="4" t="s">
        <v>59</v>
      </c>
      <c r="AA50" s="4" t="s">
        <v>60</v>
      </c>
      <c r="AB50" s="4" t="s">
        <v>59</v>
      </c>
      <c r="AC50" s="4" t="s">
        <v>60</v>
      </c>
      <c r="AD50" s="4" t="s">
        <v>59</v>
      </c>
      <c r="AE50" s="4" t="s">
        <v>60</v>
      </c>
      <c r="AF50" s="4" t="s">
        <v>59</v>
      </c>
      <c r="AG50" s="4" t="s">
        <v>60</v>
      </c>
      <c r="AH50" s="4" t="s">
        <v>59</v>
      </c>
      <c r="AI50" s="4" t="s">
        <v>60</v>
      </c>
      <c r="AJ50" s="4" t="s">
        <v>59</v>
      </c>
      <c r="AK50" s="4" t="s">
        <v>60</v>
      </c>
      <c r="AL50" s="4" t="s">
        <v>59</v>
      </c>
      <c r="AM50" s="4" t="s">
        <v>60</v>
      </c>
      <c r="AN50" s="91"/>
    </row>
    <row r="51" spans="2:40">
      <c r="B51" s="5">
        <v>1</v>
      </c>
      <c r="C51" s="6" t="s">
        <v>61</v>
      </c>
      <c r="D51" s="5">
        <v>319</v>
      </c>
      <c r="E51" s="5">
        <v>51.2</v>
      </c>
      <c r="F51" s="5">
        <v>304</v>
      </c>
      <c r="G51" s="5">
        <v>48.8</v>
      </c>
      <c r="H51" s="5">
        <v>623</v>
      </c>
      <c r="I51" s="5">
        <v>4.2</v>
      </c>
      <c r="J51" s="5">
        <v>606</v>
      </c>
      <c r="K51" s="5">
        <v>52.02</v>
      </c>
      <c r="L51" s="5">
        <v>559</v>
      </c>
      <c r="M51" s="5">
        <v>47.98</v>
      </c>
      <c r="N51" s="7">
        <v>1165</v>
      </c>
      <c r="O51" s="5">
        <v>7.86</v>
      </c>
      <c r="P51" s="7">
        <v>2271</v>
      </c>
      <c r="Q51" s="5">
        <v>50.66</v>
      </c>
      <c r="R51" s="7">
        <v>2212</v>
      </c>
      <c r="S51" s="5">
        <v>49.34</v>
      </c>
      <c r="T51" s="7">
        <v>4483</v>
      </c>
      <c r="U51" s="5">
        <v>30.25</v>
      </c>
      <c r="V51" s="7">
        <v>2478</v>
      </c>
      <c r="W51" s="5">
        <v>50.21</v>
      </c>
      <c r="X51" s="7">
        <v>2457</v>
      </c>
      <c r="Y51" s="5">
        <v>49.79</v>
      </c>
      <c r="Z51" s="7">
        <v>4935</v>
      </c>
      <c r="AA51" s="5">
        <v>33.299999999999997</v>
      </c>
      <c r="AB51" s="7">
        <v>1534</v>
      </c>
      <c r="AC51" s="5">
        <v>42.43</v>
      </c>
      <c r="AD51" s="7">
        <v>2081</v>
      </c>
      <c r="AE51" s="5">
        <v>57.57</v>
      </c>
      <c r="AF51" s="7">
        <v>3615</v>
      </c>
      <c r="AG51" s="5">
        <v>24.39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7">
        <v>14821</v>
      </c>
    </row>
    <row r="52" spans="2:40">
      <c r="B52" s="5">
        <v>2</v>
      </c>
      <c r="C52" s="6" t="s">
        <v>62</v>
      </c>
      <c r="D52" s="5">
        <v>21</v>
      </c>
      <c r="E52" s="5">
        <v>50</v>
      </c>
      <c r="F52" s="5">
        <v>21</v>
      </c>
      <c r="G52" s="5">
        <v>50</v>
      </c>
      <c r="H52" s="5">
        <v>42</v>
      </c>
      <c r="I52" s="5">
        <v>3.6</v>
      </c>
      <c r="J52" s="5">
        <v>55</v>
      </c>
      <c r="K52" s="5">
        <v>54.46</v>
      </c>
      <c r="L52" s="5">
        <v>46</v>
      </c>
      <c r="M52" s="5">
        <v>45.54</v>
      </c>
      <c r="N52" s="5">
        <v>101</v>
      </c>
      <c r="O52" s="5">
        <v>8.65</v>
      </c>
      <c r="P52" s="5">
        <v>152</v>
      </c>
      <c r="Q52" s="5">
        <v>56.3</v>
      </c>
      <c r="R52" s="5">
        <v>118</v>
      </c>
      <c r="S52" s="5">
        <v>43.7</v>
      </c>
      <c r="T52" s="5">
        <v>270</v>
      </c>
      <c r="U52" s="5">
        <v>23.14</v>
      </c>
      <c r="V52" s="5">
        <v>208</v>
      </c>
      <c r="W52" s="5">
        <v>53.2</v>
      </c>
      <c r="X52" s="5">
        <v>183</v>
      </c>
      <c r="Y52" s="5">
        <v>46.8</v>
      </c>
      <c r="Z52" s="5">
        <v>391</v>
      </c>
      <c r="AA52" s="5">
        <v>33.5</v>
      </c>
      <c r="AB52" s="5">
        <v>174</v>
      </c>
      <c r="AC52" s="5">
        <v>47.93</v>
      </c>
      <c r="AD52" s="5">
        <v>189</v>
      </c>
      <c r="AE52" s="5">
        <v>52.07</v>
      </c>
      <c r="AF52" s="5">
        <v>363</v>
      </c>
      <c r="AG52" s="5">
        <v>31.11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7">
        <v>1167</v>
      </c>
    </row>
    <row r="53" spans="2:40">
      <c r="B53" s="5">
        <v>3</v>
      </c>
      <c r="C53" s="6" t="s">
        <v>63</v>
      </c>
      <c r="D53" s="5">
        <v>20</v>
      </c>
      <c r="E53" s="5">
        <v>48.78</v>
      </c>
      <c r="F53" s="5">
        <v>21</v>
      </c>
      <c r="G53" s="5">
        <v>51.22</v>
      </c>
      <c r="H53" s="5">
        <v>41</v>
      </c>
      <c r="I53" s="5">
        <v>5.53</v>
      </c>
      <c r="J53" s="5">
        <v>40</v>
      </c>
      <c r="K53" s="5">
        <v>51.95</v>
      </c>
      <c r="L53" s="5">
        <v>37</v>
      </c>
      <c r="M53" s="5">
        <v>48.05</v>
      </c>
      <c r="N53" s="5">
        <v>77</v>
      </c>
      <c r="O53" s="5">
        <v>10.38</v>
      </c>
      <c r="P53" s="5">
        <v>114</v>
      </c>
      <c r="Q53" s="5">
        <v>50.67</v>
      </c>
      <c r="R53" s="5">
        <v>111</v>
      </c>
      <c r="S53" s="5">
        <v>49.33</v>
      </c>
      <c r="T53" s="5">
        <v>225</v>
      </c>
      <c r="U53" s="5">
        <v>30.32</v>
      </c>
      <c r="V53" s="5">
        <v>134</v>
      </c>
      <c r="W53" s="5">
        <v>51.34</v>
      </c>
      <c r="X53" s="5">
        <v>127</v>
      </c>
      <c r="Y53" s="5">
        <v>48.66</v>
      </c>
      <c r="Z53" s="5">
        <v>261</v>
      </c>
      <c r="AA53" s="5">
        <v>35.18</v>
      </c>
      <c r="AB53" s="5">
        <v>60</v>
      </c>
      <c r="AC53" s="5">
        <v>43.48</v>
      </c>
      <c r="AD53" s="5">
        <v>78</v>
      </c>
      <c r="AE53" s="5">
        <v>56.52</v>
      </c>
      <c r="AF53" s="5">
        <v>138</v>
      </c>
      <c r="AG53" s="5">
        <v>18.600000000000001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742</v>
      </c>
    </row>
    <row r="54" spans="2:40">
      <c r="B54" s="5">
        <v>4</v>
      </c>
      <c r="C54" s="6" t="s">
        <v>64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</row>
    <row r="55" spans="2:40">
      <c r="B55" s="85" t="s">
        <v>56</v>
      </c>
      <c r="C55" s="86"/>
      <c r="D55" s="8">
        <v>360</v>
      </c>
      <c r="E55" s="8">
        <v>50.99</v>
      </c>
      <c r="F55" s="8">
        <v>346</v>
      </c>
      <c r="G55" s="8">
        <v>49.01</v>
      </c>
      <c r="H55" s="8">
        <v>706</v>
      </c>
      <c r="I55" s="8">
        <v>4.22</v>
      </c>
      <c r="J55" s="8">
        <v>701</v>
      </c>
      <c r="K55" s="8">
        <v>52.2</v>
      </c>
      <c r="L55" s="8">
        <v>642</v>
      </c>
      <c r="M55" s="8">
        <v>47.8</v>
      </c>
      <c r="N55" s="9">
        <v>1343</v>
      </c>
      <c r="O55" s="8">
        <v>8.0299999999999994</v>
      </c>
      <c r="P55" s="9">
        <v>2537</v>
      </c>
      <c r="Q55" s="8">
        <v>50.96</v>
      </c>
      <c r="R55" s="9">
        <v>2441</v>
      </c>
      <c r="S55" s="8">
        <v>49.04</v>
      </c>
      <c r="T55" s="9">
        <v>4978</v>
      </c>
      <c r="U55" s="8">
        <v>29.75</v>
      </c>
      <c r="V55" s="9">
        <v>2820</v>
      </c>
      <c r="W55" s="8">
        <v>50.47</v>
      </c>
      <c r="X55" s="9">
        <v>2767</v>
      </c>
      <c r="Y55" s="8">
        <v>49.53</v>
      </c>
      <c r="Z55" s="9">
        <v>5587</v>
      </c>
      <c r="AA55" s="8">
        <v>33.4</v>
      </c>
      <c r="AB55" s="9">
        <v>1768</v>
      </c>
      <c r="AC55" s="8">
        <v>42.95</v>
      </c>
      <c r="AD55" s="9">
        <v>2348</v>
      </c>
      <c r="AE55" s="8">
        <v>57.05</v>
      </c>
      <c r="AF55" s="9">
        <v>4116</v>
      </c>
      <c r="AG55" s="8">
        <v>24.6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9">
        <v>16730</v>
      </c>
    </row>
    <row r="56" spans="2:40"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</row>
    <row r="57" spans="2:40"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</row>
  </sheetData>
  <mergeCells count="120">
    <mergeCell ref="AB6:AG6"/>
    <mergeCell ref="AH6:AM6"/>
    <mergeCell ref="AN6:AN8"/>
    <mergeCell ref="D7:E7"/>
    <mergeCell ref="F7:G7"/>
    <mergeCell ref="H7:I7"/>
    <mergeCell ref="J7:K7"/>
    <mergeCell ref="L7:M7"/>
    <mergeCell ref="N7:O7"/>
    <mergeCell ref="P7:Q7"/>
    <mergeCell ref="D6:I6"/>
    <mergeCell ref="J6:O6"/>
    <mergeCell ref="P6:U6"/>
    <mergeCell ref="V6:AA6"/>
    <mergeCell ref="R7:S7"/>
    <mergeCell ref="T7:U7"/>
    <mergeCell ref="V7:W7"/>
    <mergeCell ref="X7:Y7"/>
    <mergeCell ref="AL7:AM7"/>
    <mergeCell ref="B13:C13"/>
    <mergeCell ref="B20:B22"/>
    <mergeCell ref="C20:C22"/>
    <mergeCell ref="D20:I20"/>
    <mergeCell ref="J20:O20"/>
    <mergeCell ref="P20:U20"/>
    <mergeCell ref="V20:AA20"/>
    <mergeCell ref="AB20:AG20"/>
    <mergeCell ref="AH20:AM20"/>
    <mergeCell ref="Z7:AA7"/>
    <mergeCell ref="AB7:AC7"/>
    <mergeCell ref="AD7:AE7"/>
    <mergeCell ref="AF7:AG7"/>
    <mergeCell ref="AH7:AI7"/>
    <mergeCell ref="AJ7:AK7"/>
    <mergeCell ref="B6:B8"/>
    <mergeCell ref="C6:C8"/>
    <mergeCell ref="AN20:AN22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AH21:AI21"/>
    <mergeCell ref="AJ21:AK21"/>
    <mergeCell ref="AL21:AM21"/>
    <mergeCell ref="B27:C27"/>
    <mergeCell ref="B34:B36"/>
    <mergeCell ref="C34:C36"/>
    <mergeCell ref="D34:I34"/>
    <mergeCell ref="J34:O34"/>
    <mergeCell ref="P34:U34"/>
    <mergeCell ref="V34:AA34"/>
    <mergeCell ref="V21:W21"/>
    <mergeCell ref="X21:Y21"/>
    <mergeCell ref="Z21:AA21"/>
    <mergeCell ref="AB21:AC21"/>
    <mergeCell ref="AD21:AE21"/>
    <mergeCell ref="AF21:AG21"/>
    <mergeCell ref="AB34:AG34"/>
    <mergeCell ref="AH34:AM34"/>
    <mergeCell ref="AN34:AN36"/>
    <mergeCell ref="D35:E35"/>
    <mergeCell ref="F35:G35"/>
    <mergeCell ref="H35:I35"/>
    <mergeCell ref="J35:K35"/>
    <mergeCell ref="L35:M35"/>
    <mergeCell ref="N35:O35"/>
    <mergeCell ref="P35:Q35"/>
    <mergeCell ref="AD35:AE35"/>
    <mergeCell ref="AF35:AG35"/>
    <mergeCell ref="AH35:AI35"/>
    <mergeCell ref="AJ35:AK35"/>
    <mergeCell ref="AL35:AM35"/>
    <mergeCell ref="B41:C41"/>
    <mergeCell ref="R35:S35"/>
    <mergeCell ref="T35:U35"/>
    <mergeCell ref="V35:W35"/>
    <mergeCell ref="X35:Y35"/>
    <mergeCell ref="Z35:AA35"/>
    <mergeCell ref="AB35:AC35"/>
    <mergeCell ref="N49:O49"/>
    <mergeCell ref="P49:Q49"/>
    <mergeCell ref="B48:B50"/>
    <mergeCell ref="C48:C50"/>
    <mergeCell ref="D48:I48"/>
    <mergeCell ref="J48:O48"/>
    <mergeCell ref="P48:U48"/>
    <mergeCell ref="V48:AA48"/>
    <mergeCell ref="R49:S49"/>
    <mergeCell ref="T49:U49"/>
    <mergeCell ref="V49:W49"/>
    <mergeCell ref="X49:Y49"/>
    <mergeCell ref="B56:AN56"/>
    <mergeCell ref="B57:AN57"/>
    <mergeCell ref="AL49:AM49"/>
    <mergeCell ref="B55:C55"/>
    <mergeCell ref="B14:AN14"/>
    <mergeCell ref="B15:AN15"/>
    <mergeCell ref="B28:AN28"/>
    <mergeCell ref="B29:AN29"/>
    <mergeCell ref="B42:AN42"/>
    <mergeCell ref="B43:AN43"/>
    <mergeCell ref="Z49:AA49"/>
    <mergeCell ref="AB49:AC49"/>
    <mergeCell ref="AD49:AE49"/>
    <mergeCell ref="AF49:AG49"/>
    <mergeCell ref="AH49:AI49"/>
    <mergeCell ref="AJ49:AK49"/>
    <mergeCell ref="AB48:AG48"/>
    <mergeCell ref="AH48:AM48"/>
    <mergeCell ref="AN48:AN50"/>
    <mergeCell ref="D49:E49"/>
    <mergeCell ref="F49:G49"/>
    <mergeCell ref="H49:I49"/>
    <mergeCell ref="J49:K49"/>
    <mergeCell ref="L49:M4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1BB8D-BCAB-4807-B034-0E5377075F86}">
  <dimension ref="B2:AN70"/>
  <sheetViews>
    <sheetView topLeftCell="D46" workbookViewId="0">
      <selection activeCell="O32" sqref="O32"/>
    </sheetView>
  </sheetViews>
  <sheetFormatPr defaultRowHeight="14.5"/>
  <sheetData>
    <row r="2" spans="2:40">
      <c r="B2" s="1" t="s">
        <v>41</v>
      </c>
      <c r="C2" s="1" t="s">
        <v>42</v>
      </c>
      <c r="D2" s="2" t="s">
        <v>43</v>
      </c>
    </row>
    <row r="3" spans="2:40">
      <c r="B3" s="1" t="s">
        <v>44</v>
      </c>
      <c r="C3" s="1" t="s">
        <v>42</v>
      </c>
      <c r="D3" s="2" t="s">
        <v>97</v>
      </c>
    </row>
    <row r="4" spans="2:40">
      <c r="B4" s="1" t="s">
        <v>1</v>
      </c>
      <c r="C4" s="1" t="s">
        <v>42</v>
      </c>
      <c r="D4" s="2" t="s">
        <v>98</v>
      </c>
    </row>
    <row r="5" spans="2:40">
      <c r="B5" s="1" t="s">
        <v>47</v>
      </c>
      <c r="C5" s="1" t="s">
        <v>42</v>
      </c>
      <c r="D5" s="3">
        <v>46184</v>
      </c>
    </row>
    <row r="6" spans="2:40">
      <c r="B6" s="89" t="s">
        <v>48</v>
      </c>
      <c r="C6" s="89" t="s">
        <v>49</v>
      </c>
      <c r="D6" s="83" t="s">
        <v>50</v>
      </c>
      <c r="E6" s="88"/>
      <c r="F6" s="88"/>
      <c r="G6" s="88"/>
      <c r="H6" s="88"/>
      <c r="I6" s="84"/>
      <c r="J6" s="83" t="s">
        <v>51</v>
      </c>
      <c r="K6" s="88"/>
      <c r="L6" s="88"/>
      <c r="M6" s="88"/>
      <c r="N6" s="88"/>
      <c r="O6" s="84"/>
      <c r="P6" s="83" t="s">
        <v>52</v>
      </c>
      <c r="Q6" s="88"/>
      <c r="R6" s="88"/>
      <c r="S6" s="88"/>
      <c r="T6" s="88"/>
      <c r="U6" s="84"/>
      <c r="V6" s="83" t="s">
        <v>53</v>
      </c>
      <c r="W6" s="88"/>
      <c r="X6" s="88"/>
      <c r="Y6" s="88"/>
      <c r="Z6" s="88"/>
      <c r="AA6" s="84"/>
      <c r="AB6" s="83" t="s">
        <v>54</v>
      </c>
      <c r="AC6" s="88"/>
      <c r="AD6" s="88"/>
      <c r="AE6" s="88"/>
      <c r="AF6" s="88"/>
      <c r="AG6" s="84"/>
      <c r="AH6" s="83" t="s">
        <v>55</v>
      </c>
      <c r="AI6" s="88"/>
      <c r="AJ6" s="88"/>
      <c r="AK6" s="88"/>
      <c r="AL6" s="88"/>
      <c r="AM6" s="84"/>
      <c r="AN6" s="89" t="s">
        <v>56</v>
      </c>
    </row>
    <row r="7" spans="2:40">
      <c r="B7" s="90"/>
      <c r="C7" s="90"/>
      <c r="D7" s="83" t="s">
        <v>57</v>
      </c>
      <c r="E7" s="84"/>
      <c r="F7" s="83" t="s">
        <v>58</v>
      </c>
      <c r="G7" s="84"/>
      <c r="H7" s="83" t="s">
        <v>56</v>
      </c>
      <c r="I7" s="84"/>
      <c r="J7" s="83" t="s">
        <v>57</v>
      </c>
      <c r="K7" s="84"/>
      <c r="L7" s="83" t="s">
        <v>58</v>
      </c>
      <c r="M7" s="84"/>
      <c r="N7" s="83" t="s">
        <v>56</v>
      </c>
      <c r="O7" s="84"/>
      <c r="P7" s="83" t="s">
        <v>57</v>
      </c>
      <c r="Q7" s="84"/>
      <c r="R7" s="83" t="s">
        <v>58</v>
      </c>
      <c r="S7" s="84"/>
      <c r="T7" s="83" t="s">
        <v>56</v>
      </c>
      <c r="U7" s="84"/>
      <c r="V7" s="83" t="s">
        <v>57</v>
      </c>
      <c r="W7" s="84"/>
      <c r="X7" s="83" t="s">
        <v>58</v>
      </c>
      <c r="Y7" s="84"/>
      <c r="Z7" s="83" t="s">
        <v>56</v>
      </c>
      <c r="AA7" s="84"/>
      <c r="AB7" s="83" t="s">
        <v>57</v>
      </c>
      <c r="AC7" s="84"/>
      <c r="AD7" s="83" t="s">
        <v>58</v>
      </c>
      <c r="AE7" s="84"/>
      <c r="AF7" s="83" t="s">
        <v>56</v>
      </c>
      <c r="AG7" s="84"/>
      <c r="AH7" s="83" t="s">
        <v>57</v>
      </c>
      <c r="AI7" s="84"/>
      <c r="AJ7" s="83" t="s">
        <v>58</v>
      </c>
      <c r="AK7" s="84"/>
      <c r="AL7" s="83" t="s">
        <v>56</v>
      </c>
      <c r="AM7" s="84"/>
      <c r="AN7" s="90"/>
    </row>
    <row r="8" spans="2:40">
      <c r="B8" s="91"/>
      <c r="C8" s="91"/>
      <c r="D8" s="4" t="s">
        <v>59</v>
      </c>
      <c r="E8" s="4" t="s">
        <v>60</v>
      </c>
      <c r="F8" s="4" t="s">
        <v>59</v>
      </c>
      <c r="G8" s="4" t="s">
        <v>60</v>
      </c>
      <c r="H8" s="4" t="s">
        <v>59</v>
      </c>
      <c r="I8" s="4" t="s">
        <v>60</v>
      </c>
      <c r="J8" s="4" t="s">
        <v>59</v>
      </c>
      <c r="K8" s="4" t="s">
        <v>60</v>
      </c>
      <c r="L8" s="4" t="s">
        <v>59</v>
      </c>
      <c r="M8" s="4" t="s">
        <v>60</v>
      </c>
      <c r="N8" s="4" t="s">
        <v>59</v>
      </c>
      <c r="O8" s="4" t="s">
        <v>60</v>
      </c>
      <c r="P8" s="4" t="s">
        <v>59</v>
      </c>
      <c r="Q8" s="4" t="s">
        <v>60</v>
      </c>
      <c r="R8" s="4" t="s">
        <v>59</v>
      </c>
      <c r="S8" s="4" t="s">
        <v>60</v>
      </c>
      <c r="T8" s="4" t="s">
        <v>59</v>
      </c>
      <c r="U8" s="4" t="s">
        <v>60</v>
      </c>
      <c r="V8" s="4" t="s">
        <v>59</v>
      </c>
      <c r="W8" s="4" t="s">
        <v>60</v>
      </c>
      <c r="X8" s="4" t="s">
        <v>59</v>
      </c>
      <c r="Y8" s="4" t="s">
        <v>60</v>
      </c>
      <c r="Z8" s="4" t="s">
        <v>59</v>
      </c>
      <c r="AA8" s="4" t="s">
        <v>60</v>
      </c>
      <c r="AB8" s="4" t="s">
        <v>59</v>
      </c>
      <c r="AC8" s="4" t="s">
        <v>60</v>
      </c>
      <c r="AD8" s="4" t="s">
        <v>59</v>
      </c>
      <c r="AE8" s="4" t="s">
        <v>60</v>
      </c>
      <c r="AF8" s="4" t="s">
        <v>59</v>
      </c>
      <c r="AG8" s="4" t="s">
        <v>60</v>
      </c>
      <c r="AH8" s="4" t="s">
        <v>59</v>
      </c>
      <c r="AI8" s="4" t="s">
        <v>60</v>
      </c>
      <c r="AJ8" s="4" t="s">
        <v>59</v>
      </c>
      <c r="AK8" s="4" t="s">
        <v>60</v>
      </c>
      <c r="AL8" s="4" t="s">
        <v>59</v>
      </c>
      <c r="AM8" s="4" t="s">
        <v>60</v>
      </c>
      <c r="AN8" s="91"/>
    </row>
    <row r="9" spans="2:40">
      <c r="B9" s="5">
        <v>1</v>
      </c>
      <c r="C9" s="6" t="s">
        <v>61</v>
      </c>
      <c r="D9" s="5">
        <v>114</v>
      </c>
      <c r="E9" s="5">
        <v>52.29</v>
      </c>
      <c r="F9" s="5">
        <v>104</v>
      </c>
      <c r="G9" s="5">
        <v>47.71</v>
      </c>
      <c r="H9" s="5">
        <v>218</v>
      </c>
      <c r="I9" s="5">
        <v>5.69</v>
      </c>
      <c r="J9" s="5">
        <v>205</v>
      </c>
      <c r="K9" s="5">
        <v>47.56</v>
      </c>
      <c r="L9" s="5">
        <v>226</v>
      </c>
      <c r="M9" s="5">
        <v>52.44</v>
      </c>
      <c r="N9" s="5">
        <v>431</v>
      </c>
      <c r="O9" s="5">
        <v>11.25</v>
      </c>
      <c r="P9" s="5">
        <v>702</v>
      </c>
      <c r="Q9" s="5">
        <v>54.72</v>
      </c>
      <c r="R9" s="5">
        <v>581</v>
      </c>
      <c r="S9" s="5">
        <v>45.28</v>
      </c>
      <c r="T9" s="7">
        <v>1283</v>
      </c>
      <c r="U9" s="5">
        <v>33.49</v>
      </c>
      <c r="V9" s="5">
        <v>626</v>
      </c>
      <c r="W9" s="5">
        <v>51.14</v>
      </c>
      <c r="X9" s="5">
        <v>598</v>
      </c>
      <c r="Y9" s="5">
        <v>48.86</v>
      </c>
      <c r="Z9" s="7">
        <v>1224</v>
      </c>
      <c r="AA9" s="5">
        <v>31.95</v>
      </c>
      <c r="AB9" s="5">
        <v>295</v>
      </c>
      <c r="AC9" s="5">
        <v>43.7</v>
      </c>
      <c r="AD9" s="5">
        <v>380</v>
      </c>
      <c r="AE9" s="5">
        <v>56.3</v>
      </c>
      <c r="AF9" s="5">
        <v>675</v>
      </c>
      <c r="AG9" s="5">
        <v>17.62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7">
        <v>3831</v>
      </c>
    </row>
    <row r="10" spans="2:40">
      <c r="B10" s="5">
        <v>2</v>
      </c>
      <c r="C10" s="6" t="s">
        <v>62</v>
      </c>
      <c r="D10" s="5">
        <v>141</v>
      </c>
      <c r="E10" s="5">
        <v>51.46</v>
      </c>
      <c r="F10" s="5">
        <v>133</v>
      </c>
      <c r="G10" s="5">
        <v>48.54</v>
      </c>
      <c r="H10" s="5">
        <v>274</v>
      </c>
      <c r="I10" s="5">
        <v>3.35</v>
      </c>
      <c r="J10" s="5">
        <v>283</v>
      </c>
      <c r="K10" s="5">
        <v>53.2</v>
      </c>
      <c r="L10" s="5">
        <v>249</v>
      </c>
      <c r="M10" s="5">
        <v>46.8</v>
      </c>
      <c r="N10" s="5">
        <v>532</v>
      </c>
      <c r="O10" s="5">
        <v>6.5</v>
      </c>
      <c r="P10" s="7">
        <v>1113</v>
      </c>
      <c r="Q10" s="5">
        <v>52.92</v>
      </c>
      <c r="R10" s="5">
        <v>990</v>
      </c>
      <c r="S10" s="5">
        <v>47.08</v>
      </c>
      <c r="T10" s="7">
        <v>2103</v>
      </c>
      <c r="U10" s="5">
        <v>25.69</v>
      </c>
      <c r="V10" s="7">
        <v>1691</v>
      </c>
      <c r="W10" s="5">
        <v>54.92</v>
      </c>
      <c r="X10" s="7">
        <v>1388</v>
      </c>
      <c r="Y10" s="5">
        <v>45.08</v>
      </c>
      <c r="Z10" s="7">
        <v>3079</v>
      </c>
      <c r="AA10" s="5">
        <v>37.61</v>
      </c>
      <c r="AB10" s="7">
        <v>1051</v>
      </c>
      <c r="AC10" s="5">
        <v>47.82</v>
      </c>
      <c r="AD10" s="7">
        <v>1147</v>
      </c>
      <c r="AE10" s="5">
        <v>52.18</v>
      </c>
      <c r="AF10" s="7">
        <v>2198</v>
      </c>
      <c r="AG10" s="5">
        <v>26.85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7">
        <v>8186</v>
      </c>
    </row>
    <row r="11" spans="2:40">
      <c r="B11" s="5">
        <v>3</v>
      </c>
      <c r="C11" s="6" t="s">
        <v>63</v>
      </c>
      <c r="D11" s="5">
        <v>50</v>
      </c>
      <c r="E11" s="5">
        <v>47.17</v>
      </c>
      <c r="F11" s="5">
        <v>56</v>
      </c>
      <c r="G11" s="5">
        <v>52.83</v>
      </c>
      <c r="H11" s="5">
        <v>106</v>
      </c>
      <c r="I11" s="5">
        <v>3.39</v>
      </c>
      <c r="J11" s="5">
        <v>129</v>
      </c>
      <c r="K11" s="5">
        <v>51.81</v>
      </c>
      <c r="L11" s="5">
        <v>120</v>
      </c>
      <c r="M11" s="5">
        <v>48.19</v>
      </c>
      <c r="N11" s="5">
        <v>249</v>
      </c>
      <c r="O11" s="5">
        <v>7.97</v>
      </c>
      <c r="P11" s="5">
        <v>466</v>
      </c>
      <c r="Q11" s="5">
        <v>49.68</v>
      </c>
      <c r="R11" s="5">
        <v>472</v>
      </c>
      <c r="S11" s="5">
        <v>50.32</v>
      </c>
      <c r="T11" s="5">
        <v>938</v>
      </c>
      <c r="U11" s="5">
        <v>30.04</v>
      </c>
      <c r="V11" s="5">
        <v>550</v>
      </c>
      <c r="W11" s="5">
        <v>47.95</v>
      </c>
      <c r="X11" s="5">
        <v>597</v>
      </c>
      <c r="Y11" s="5">
        <v>52.05</v>
      </c>
      <c r="Z11" s="7">
        <v>1147</v>
      </c>
      <c r="AA11" s="5">
        <v>36.729999999999997</v>
      </c>
      <c r="AB11" s="5">
        <v>286</v>
      </c>
      <c r="AC11" s="5">
        <v>41.87</v>
      </c>
      <c r="AD11" s="5">
        <v>397</v>
      </c>
      <c r="AE11" s="5">
        <v>58.13</v>
      </c>
      <c r="AF11" s="5">
        <v>683</v>
      </c>
      <c r="AG11" s="5">
        <v>21.87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7">
        <v>3123</v>
      </c>
    </row>
    <row r="12" spans="2:40">
      <c r="B12" s="5">
        <v>4</v>
      </c>
      <c r="C12" s="6" t="s">
        <v>64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1</v>
      </c>
      <c r="AC12" s="5">
        <v>100</v>
      </c>
      <c r="AD12" s="5">
        <v>0</v>
      </c>
      <c r="AE12" s="5">
        <v>0</v>
      </c>
      <c r="AF12" s="5">
        <v>1</v>
      </c>
      <c r="AG12" s="5">
        <v>100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1</v>
      </c>
    </row>
    <row r="13" spans="2:40">
      <c r="B13" s="85" t="s">
        <v>56</v>
      </c>
      <c r="C13" s="86"/>
      <c r="D13" s="8">
        <v>305</v>
      </c>
      <c r="E13" s="8">
        <v>51</v>
      </c>
      <c r="F13" s="8">
        <v>293</v>
      </c>
      <c r="G13" s="8">
        <v>49</v>
      </c>
      <c r="H13" s="8">
        <v>598</v>
      </c>
      <c r="I13" s="8">
        <v>3.95</v>
      </c>
      <c r="J13" s="8">
        <v>617</v>
      </c>
      <c r="K13" s="8">
        <v>50.91</v>
      </c>
      <c r="L13" s="8">
        <v>595</v>
      </c>
      <c r="M13" s="8">
        <v>49.09</v>
      </c>
      <c r="N13" s="9">
        <v>1212</v>
      </c>
      <c r="O13" s="8">
        <v>8</v>
      </c>
      <c r="P13" s="9">
        <v>2281</v>
      </c>
      <c r="Q13" s="8">
        <v>52.75</v>
      </c>
      <c r="R13" s="9">
        <v>2043</v>
      </c>
      <c r="S13" s="8">
        <v>47.25</v>
      </c>
      <c r="T13" s="9">
        <v>4324</v>
      </c>
      <c r="U13" s="8">
        <v>28.56</v>
      </c>
      <c r="V13" s="9">
        <v>2867</v>
      </c>
      <c r="W13" s="8">
        <v>52.61</v>
      </c>
      <c r="X13" s="9">
        <v>2583</v>
      </c>
      <c r="Y13" s="8">
        <v>47.39</v>
      </c>
      <c r="Z13" s="9">
        <v>5450</v>
      </c>
      <c r="AA13" s="8">
        <v>35.99</v>
      </c>
      <c r="AB13" s="9">
        <v>1633</v>
      </c>
      <c r="AC13" s="8">
        <v>45.91</v>
      </c>
      <c r="AD13" s="9">
        <v>1924</v>
      </c>
      <c r="AE13" s="8">
        <v>54.09</v>
      </c>
      <c r="AF13" s="9">
        <v>3557</v>
      </c>
      <c r="AG13" s="8">
        <v>23.49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9">
        <v>15141</v>
      </c>
    </row>
    <row r="14" spans="2:40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</row>
    <row r="15" spans="2:40"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</row>
    <row r="16" spans="2:40">
      <c r="B16" s="1" t="s">
        <v>41</v>
      </c>
      <c r="C16" s="1" t="s">
        <v>42</v>
      </c>
      <c r="D16" s="2" t="s">
        <v>43</v>
      </c>
    </row>
    <row r="17" spans="2:40">
      <c r="B17" s="1" t="s">
        <v>44</v>
      </c>
      <c r="C17" s="1" t="s">
        <v>42</v>
      </c>
      <c r="D17" s="2" t="s">
        <v>97</v>
      </c>
    </row>
    <row r="18" spans="2:40">
      <c r="B18" s="1" t="s">
        <v>1</v>
      </c>
      <c r="C18" s="1" t="s">
        <v>42</v>
      </c>
      <c r="D18" s="2" t="s">
        <v>99</v>
      </c>
    </row>
    <row r="19" spans="2:40">
      <c r="B19" s="1" t="s">
        <v>47</v>
      </c>
      <c r="C19" s="1" t="s">
        <v>42</v>
      </c>
      <c r="D19" s="3">
        <v>46184</v>
      </c>
    </row>
    <row r="20" spans="2:40">
      <c r="B20" s="89" t="s">
        <v>48</v>
      </c>
      <c r="C20" s="89" t="s">
        <v>49</v>
      </c>
      <c r="D20" s="83" t="s">
        <v>50</v>
      </c>
      <c r="E20" s="88"/>
      <c r="F20" s="88"/>
      <c r="G20" s="88"/>
      <c r="H20" s="88"/>
      <c r="I20" s="84"/>
      <c r="J20" s="83" t="s">
        <v>51</v>
      </c>
      <c r="K20" s="88"/>
      <c r="L20" s="88"/>
      <c r="M20" s="88"/>
      <c r="N20" s="88"/>
      <c r="O20" s="84"/>
      <c r="P20" s="83" t="s">
        <v>52</v>
      </c>
      <c r="Q20" s="88"/>
      <c r="R20" s="88"/>
      <c r="S20" s="88"/>
      <c r="T20" s="88"/>
      <c r="U20" s="84"/>
      <c r="V20" s="83" t="s">
        <v>53</v>
      </c>
      <c r="W20" s="88"/>
      <c r="X20" s="88"/>
      <c r="Y20" s="88"/>
      <c r="Z20" s="88"/>
      <c r="AA20" s="84"/>
      <c r="AB20" s="83" t="s">
        <v>54</v>
      </c>
      <c r="AC20" s="88"/>
      <c r="AD20" s="88"/>
      <c r="AE20" s="88"/>
      <c r="AF20" s="88"/>
      <c r="AG20" s="84"/>
      <c r="AH20" s="83" t="s">
        <v>55</v>
      </c>
      <c r="AI20" s="88"/>
      <c r="AJ20" s="88"/>
      <c r="AK20" s="88"/>
      <c r="AL20" s="88"/>
      <c r="AM20" s="84"/>
      <c r="AN20" s="89" t="s">
        <v>56</v>
      </c>
    </row>
    <row r="21" spans="2:40">
      <c r="B21" s="90"/>
      <c r="C21" s="90"/>
      <c r="D21" s="83" t="s">
        <v>57</v>
      </c>
      <c r="E21" s="84"/>
      <c r="F21" s="83" t="s">
        <v>58</v>
      </c>
      <c r="G21" s="84"/>
      <c r="H21" s="83" t="s">
        <v>56</v>
      </c>
      <c r="I21" s="84"/>
      <c r="J21" s="83" t="s">
        <v>57</v>
      </c>
      <c r="K21" s="84"/>
      <c r="L21" s="83" t="s">
        <v>58</v>
      </c>
      <c r="M21" s="84"/>
      <c r="N21" s="83" t="s">
        <v>56</v>
      </c>
      <c r="O21" s="84"/>
      <c r="P21" s="83" t="s">
        <v>57</v>
      </c>
      <c r="Q21" s="84"/>
      <c r="R21" s="83" t="s">
        <v>58</v>
      </c>
      <c r="S21" s="84"/>
      <c r="T21" s="83" t="s">
        <v>56</v>
      </c>
      <c r="U21" s="84"/>
      <c r="V21" s="83" t="s">
        <v>57</v>
      </c>
      <c r="W21" s="84"/>
      <c r="X21" s="83" t="s">
        <v>58</v>
      </c>
      <c r="Y21" s="84"/>
      <c r="Z21" s="83" t="s">
        <v>56</v>
      </c>
      <c r="AA21" s="84"/>
      <c r="AB21" s="83" t="s">
        <v>57</v>
      </c>
      <c r="AC21" s="84"/>
      <c r="AD21" s="83" t="s">
        <v>58</v>
      </c>
      <c r="AE21" s="84"/>
      <c r="AF21" s="83" t="s">
        <v>56</v>
      </c>
      <c r="AG21" s="84"/>
      <c r="AH21" s="83" t="s">
        <v>57</v>
      </c>
      <c r="AI21" s="84"/>
      <c r="AJ21" s="83" t="s">
        <v>58</v>
      </c>
      <c r="AK21" s="84"/>
      <c r="AL21" s="83" t="s">
        <v>56</v>
      </c>
      <c r="AM21" s="84"/>
      <c r="AN21" s="90"/>
    </row>
    <row r="22" spans="2:40">
      <c r="B22" s="91"/>
      <c r="C22" s="91"/>
      <c r="D22" s="4" t="s">
        <v>59</v>
      </c>
      <c r="E22" s="4" t="s">
        <v>60</v>
      </c>
      <c r="F22" s="4" t="s">
        <v>59</v>
      </c>
      <c r="G22" s="4" t="s">
        <v>60</v>
      </c>
      <c r="H22" s="4" t="s">
        <v>59</v>
      </c>
      <c r="I22" s="4" t="s">
        <v>60</v>
      </c>
      <c r="J22" s="4" t="s">
        <v>59</v>
      </c>
      <c r="K22" s="4" t="s">
        <v>60</v>
      </c>
      <c r="L22" s="4" t="s">
        <v>59</v>
      </c>
      <c r="M22" s="4" t="s">
        <v>60</v>
      </c>
      <c r="N22" s="4" t="s">
        <v>59</v>
      </c>
      <c r="O22" s="4" t="s">
        <v>60</v>
      </c>
      <c r="P22" s="4" t="s">
        <v>59</v>
      </c>
      <c r="Q22" s="4" t="s">
        <v>60</v>
      </c>
      <c r="R22" s="4" t="s">
        <v>59</v>
      </c>
      <c r="S22" s="4" t="s">
        <v>60</v>
      </c>
      <c r="T22" s="4" t="s">
        <v>59</v>
      </c>
      <c r="U22" s="4" t="s">
        <v>60</v>
      </c>
      <c r="V22" s="4" t="s">
        <v>59</v>
      </c>
      <c r="W22" s="4" t="s">
        <v>60</v>
      </c>
      <c r="X22" s="4" t="s">
        <v>59</v>
      </c>
      <c r="Y22" s="4" t="s">
        <v>60</v>
      </c>
      <c r="Z22" s="4" t="s">
        <v>59</v>
      </c>
      <c r="AA22" s="4" t="s">
        <v>60</v>
      </c>
      <c r="AB22" s="4" t="s">
        <v>59</v>
      </c>
      <c r="AC22" s="4" t="s">
        <v>60</v>
      </c>
      <c r="AD22" s="4" t="s">
        <v>59</v>
      </c>
      <c r="AE22" s="4" t="s">
        <v>60</v>
      </c>
      <c r="AF22" s="4" t="s">
        <v>59</v>
      </c>
      <c r="AG22" s="4" t="s">
        <v>60</v>
      </c>
      <c r="AH22" s="4" t="s">
        <v>59</v>
      </c>
      <c r="AI22" s="4" t="s">
        <v>60</v>
      </c>
      <c r="AJ22" s="4" t="s">
        <v>59</v>
      </c>
      <c r="AK22" s="4" t="s">
        <v>60</v>
      </c>
      <c r="AL22" s="4" t="s">
        <v>59</v>
      </c>
      <c r="AM22" s="4" t="s">
        <v>60</v>
      </c>
      <c r="AN22" s="91"/>
    </row>
    <row r="23" spans="2:40">
      <c r="B23" s="5">
        <v>1</v>
      </c>
      <c r="C23" s="6" t="s">
        <v>61</v>
      </c>
      <c r="D23" s="5">
        <v>283</v>
      </c>
      <c r="E23" s="5">
        <v>50.99</v>
      </c>
      <c r="F23" s="5">
        <v>272</v>
      </c>
      <c r="G23" s="5">
        <v>49.01</v>
      </c>
      <c r="H23" s="5">
        <v>555</v>
      </c>
      <c r="I23" s="5">
        <v>7.61</v>
      </c>
      <c r="J23" s="5">
        <v>523</v>
      </c>
      <c r="K23" s="5">
        <v>49.29</v>
      </c>
      <c r="L23" s="5">
        <v>538</v>
      </c>
      <c r="M23" s="5">
        <v>50.71</v>
      </c>
      <c r="N23" s="7">
        <v>1061</v>
      </c>
      <c r="O23" s="5">
        <v>14.55</v>
      </c>
      <c r="P23" s="7">
        <v>1439</v>
      </c>
      <c r="Q23" s="5">
        <v>49.79</v>
      </c>
      <c r="R23" s="7">
        <v>1451</v>
      </c>
      <c r="S23" s="5">
        <v>50.21</v>
      </c>
      <c r="T23" s="7">
        <v>2890</v>
      </c>
      <c r="U23" s="5">
        <v>39.630000000000003</v>
      </c>
      <c r="V23" s="5">
        <v>929</v>
      </c>
      <c r="W23" s="5">
        <v>47.01</v>
      </c>
      <c r="X23" s="7">
        <v>1047</v>
      </c>
      <c r="Y23" s="5">
        <v>52.99</v>
      </c>
      <c r="Z23" s="7">
        <v>1976</v>
      </c>
      <c r="AA23" s="5">
        <v>27.1</v>
      </c>
      <c r="AB23" s="5">
        <v>379</v>
      </c>
      <c r="AC23" s="5">
        <v>46.79</v>
      </c>
      <c r="AD23" s="5">
        <v>431</v>
      </c>
      <c r="AE23" s="5">
        <v>53.21</v>
      </c>
      <c r="AF23" s="5">
        <v>810</v>
      </c>
      <c r="AG23" s="5">
        <v>11.11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7">
        <v>7292</v>
      </c>
    </row>
    <row r="24" spans="2:40">
      <c r="B24" s="5">
        <v>2</v>
      </c>
      <c r="C24" s="6" t="s">
        <v>62</v>
      </c>
      <c r="D24" s="5">
        <v>332</v>
      </c>
      <c r="E24" s="5">
        <v>52.61</v>
      </c>
      <c r="F24" s="5">
        <v>299</v>
      </c>
      <c r="G24" s="5">
        <v>47.39</v>
      </c>
      <c r="H24" s="5">
        <v>631</v>
      </c>
      <c r="I24" s="5">
        <v>4.59</v>
      </c>
      <c r="J24" s="5">
        <v>698</v>
      </c>
      <c r="K24" s="5">
        <v>52.68</v>
      </c>
      <c r="L24" s="5">
        <v>627</v>
      </c>
      <c r="M24" s="5">
        <v>47.32</v>
      </c>
      <c r="N24" s="7">
        <v>1325</v>
      </c>
      <c r="O24" s="5">
        <v>9.6300000000000008</v>
      </c>
      <c r="P24" s="7">
        <v>2229</v>
      </c>
      <c r="Q24" s="5">
        <v>53.39</v>
      </c>
      <c r="R24" s="7">
        <v>1946</v>
      </c>
      <c r="S24" s="5">
        <v>46.61</v>
      </c>
      <c r="T24" s="7">
        <v>4175</v>
      </c>
      <c r="U24" s="5">
        <v>30.34</v>
      </c>
      <c r="V24" s="7">
        <v>2433</v>
      </c>
      <c r="W24" s="5">
        <v>51.77</v>
      </c>
      <c r="X24" s="7">
        <v>2267</v>
      </c>
      <c r="Y24" s="5">
        <v>48.23</v>
      </c>
      <c r="Z24" s="7">
        <v>4700</v>
      </c>
      <c r="AA24" s="5">
        <v>34.15</v>
      </c>
      <c r="AB24" s="7">
        <v>1396</v>
      </c>
      <c r="AC24" s="5">
        <v>47.63</v>
      </c>
      <c r="AD24" s="7">
        <v>1535</v>
      </c>
      <c r="AE24" s="5">
        <v>52.37</v>
      </c>
      <c r="AF24" s="7">
        <v>2931</v>
      </c>
      <c r="AG24" s="5">
        <v>21.3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7">
        <v>13762</v>
      </c>
    </row>
    <row r="25" spans="2:40">
      <c r="B25" s="5">
        <v>3</v>
      </c>
      <c r="C25" s="6" t="s">
        <v>63</v>
      </c>
      <c r="D25" s="5">
        <v>165</v>
      </c>
      <c r="E25" s="5">
        <v>49.11</v>
      </c>
      <c r="F25" s="5">
        <v>171</v>
      </c>
      <c r="G25" s="5">
        <v>50.89</v>
      </c>
      <c r="H25" s="5">
        <v>336</v>
      </c>
      <c r="I25" s="5">
        <v>4.84</v>
      </c>
      <c r="J25" s="5">
        <v>412</v>
      </c>
      <c r="K25" s="5">
        <v>49.28</v>
      </c>
      <c r="L25" s="5">
        <v>424</v>
      </c>
      <c r="M25" s="5">
        <v>50.72</v>
      </c>
      <c r="N25" s="5">
        <v>836</v>
      </c>
      <c r="O25" s="5">
        <v>12.03</v>
      </c>
      <c r="P25" s="7">
        <v>1243</v>
      </c>
      <c r="Q25" s="5">
        <v>49.31</v>
      </c>
      <c r="R25" s="7">
        <v>1278</v>
      </c>
      <c r="S25" s="5">
        <v>50.69</v>
      </c>
      <c r="T25" s="7">
        <v>2521</v>
      </c>
      <c r="U25" s="5">
        <v>36.28</v>
      </c>
      <c r="V25" s="7">
        <v>1038</v>
      </c>
      <c r="W25" s="5">
        <v>45.31</v>
      </c>
      <c r="X25" s="7">
        <v>1253</v>
      </c>
      <c r="Y25" s="5">
        <v>54.69</v>
      </c>
      <c r="Z25" s="7">
        <v>2291</v>
      </c>
      <c r="AA25" s="5">
        <v>32.97</v>
      </c>
      <c r="AB25" s="5">
        <v>415</v>
      </c>
      <c r="AC25" s="5">
        <v>43.01</v>
      </c>
      <c r="AD25" s="5">
        <v>550</v>
      </c>
      <c r="AE25" s="5">
        <v>56.99</v>
      </c>
      <c r="AF25" s="5">
        <v>965</v>
      </c>
      <c r="AG25" s="5">
        <v>13.89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7">
        <v>6949</v>
      </c>
    </row>
    <row r="26" spans="2:40">
      <c r="B26" s="5">
        <v>4</v>
      </c>
      <c r="C26" s="6" t="s">
        <v>64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</v>
      </c>
      <c r="Q26" s="5">
        <v>100</v>
      </c>
      <c r="R26" s="5">
        <v>0</v>
      </c>
      <c r="S26" s="5">
        <v>0</v>
      </c>
      <c r="T26" s="5">
        <v>3</v>
      </c>
      <c r="U26" s="5">
        <v>42.86</v>
      </c>
      <c r="V26" s="5">
        <v>1</v>
      </c>
      <c r="W26" s="5">
        <v>33.33</v>
      </c>
      <c r="X26" s="5">
        <v>2</v>
      </c>
      <c r="Y26" s="5">
        <v>66.67</v>
      </c>
      <c r="Z26" s="5">
        <v>3</v>
      </c>
      <c r="AA26" s="5">
        <v>42.86</v>
      </c>
      <c r="AB26" s="5">
        <v>1</v>
      </c>
      <c r="AC26" s="5">
        <v>100</v>
      </c>
      <c r="AD26" s="5">
        <v>0</v>
      </c>
      <c r="AE26" s="5">
        <v>0</v>
      </c>
      <c r="AF26" s="5">
        <v>1</v>
      </c>
      <c r="AG26" s="5">
        <v>14.29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7</v>
      </c>
    </row>
    <row r="27" spans="2:40">
      <c r="B27" s="85" t="s">
        <v>56</v>
      </c>
      <c r="C27" s="86"/>
      <c r="D27" s="8">
        <v>780</v>
      </c>
      <c r="E27" s="8">
        <v>51.25</v>
      </c>
      <c r="F27" s="8">
        <v>742</v>
      </c>
      <c r="G27" s="8">
        <v>48.75</v>
      </c>
      <c r="H27" s="9">
        <v>1522</v>
      </c>
      <c r="I27" s="8">
        <v>5.43</v>
      </c>
      <c r="J27" s="9">
        <v>1633</v>
      </c>
      <c r="K27" s="8">
        <v>50.68</v>
      </c>
      <c r="L27" s="9">
        <v>1589</v>
      </c>
      <c r="M27" s="8">
        <v>49.32</v>
      </c>
      <c r="N27" s="9">
        <v>3222</v>
      </c>
      <c r="O27" s="8">
        <v>11.5</v>
      </c>
      <c r="P27" s="9">
        <v>4914</v>
      </c>
      <c r="Q27" s="8">
        <v>51.25</v>
      </c>
      <c r="R27" s="9">
        <v>4675</v>
      </c>
      <c r="S27" s="8">
        <v>48.75</v>
      </c>
      <c r="T27" s="9">
        <v>9589</v>
      </c>
      <c r="U27" s="8">
        <v>34.229999999999997</v>
      </c>
      <c r="V27" s="9">
        <v>4401</v>
      </c>
      <c r="W27" s="8">
        <v>49.06</v>
      </c>
      <c r="X27" s="9">
        <v>4569</v>
      </c>
      <c r="Y27" s="8">
        <v>50.94</v>
      </c>
      <c r="Z27" s="9">
        <v>8970</v>
      </c>
      <c r="AA27" s="8">
        <v>32.020000000000003</v>
      </c>
      <c r="AB27" s="9">
        <v>2191</v>
      </c>
      <c r="AC27" s="8">
        <v>46.55</v>
      </c>
      <c r="AD27" s="9">
        <v>2516</v>
      </c>
      <c r="AE27" s="8">
        <v>53.45</v>
      </c>
      <c r="AF27" s="9">
        <v>4707</v>
      </c>
      <c r="AG27" s="8">
        <v>16.8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9">
        <v>28010</v>
      </c>
    </row>
    <row r="28" spans="2:40"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</row>
    <row r="29" spans="2:40"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</row>
    <row r="30" spans="2:40">
      <c r="B30" s="1" t="s">
        <v>41</v>
      </c>
      <c r="C30" s="1" t="s">
        <v>42</v>
      </c>
      <c r="D30" s="2" t="s">
        <v>43</v>
      </c>
    </row>
    <row r="31" spans="2:40">
      <c r="B31" s="1" t="s">
        <v>44</v>
      </c>
      <c r="C31" s="1" t="s">
        <v>42</v>
      </c>
      <c r="D31" s="2" t="s">
        <v>97</v>
      </c>
    </row>
    <row r="32" spans="2:40">
      <c r="B32" s="1" t="s">
        <v>1</v>
      </c>
      <c r="C32" s="1" t="s">
        <v>42</v>
      </c>
      <c r="D32" s="2" t="s">
        <v>100</v>
      </c>
    </row>
    <row r="33" spans="2:40">
      <c r="B33" s="1" t="s">
        <v>47</v>
      </c>
      <c r="C33" s="1" t="s">
        <v>42</v>
      </c>
      <c r="D33" s="3">
        <v>46184</v>
      </c>
    </row>
    <row r="34" spans="2:40">
      <c r="B34" s="89" t="s">
        <v>48</v>
      </c>
      <c r="C34" s="89" t="s">
        <v>49</v>
      </c>
      <c r="D34" s="83" t="s">
        <v>50</v>
      </c>
      <c r="E34" s="88"/>
      <c r="F34" s="88"/>
      <c r="G34" s="88"/>
      <c r="H34" s="88"/>
      <c r="I34" s="84"/>
      <c r="J34" s="83" t="s">
        <v>51</v>
      </c>
      <c r="K34" s="88"/>
      <c r="L34" s="88"/>
      <c r="M34" s="88"/>
      <c r="N34" s="88"/>
      <c r="O34" s="84"/>
      <c r="P34" s="83" t="s">
        <v>52</v>
      </c>
      <c r="Q34" s="88"/>
      <c r="R34" s="88"/>
      <c r="S34" s="88"/>
      <c r="T34" s="88"/>
      <c r="U34" s="84"/>
      <c r="V34" s="83" t="s">
        <v>53</v>
      </c>
      <c r="W34" s="88"/>
      <c r="X34" s="88"/>
      <c r="Y34" s="88"/>
      <c r="Z34" s="88"/>
      <c r="AA34" s="84"/>
      <c r="AB34" s="83" t="s">
        <v>54</v>
      </c>
      <c r="AC34" s="88"/>
      <c r="AD34" s="88"/>
      <c r="AE34" s="88"/>
      <c r="AF34" s="88"/>
      <c r="AG34" s="84"/>
      <c r="AH34" s="83" t="s">
        <v>55</v>
      </c>
      <c r="AI34" s="88"/>
      <c r="AJ34" s="88"/>
      <c r="AK34" s="88"/>
      <c r="AL34" s="88"/>
      <c r="AM34" s="84"/>
      <c r="AN34" s="89" t="s">
        <v>56</v>
      </c>
    </row>
    <row r="35" spans="2:40">
      <c r="B35" s="90"/>
      <c r="C35" s="90"/>
      <c r="D35" s="83" t="s">
        <v>57</v>
      </c>
      <c r="E35" s="84"/>
      <c r="F35" s="83" t="s">
        <v>58</v>
      </c>
      <c r="G35" s="84"/>
      <c r="H35" s="83" t="s">
        <v>56</v>
      </c>
      <c r="I35" s="84"/>
      <c r="J35" s="83" t="s">
        <v>57</v>
      </c>
      <c r="K35" s="84"/>
      <c r="L35" s="83" t="s">
        <v>58</v>
      </c>
      <c r="M35" s="84"/>
      <c r="N35" s="83" t="s">
        <v>56</v>
      </c>
      <c r="O35" s="84"/>
      <c r="P35" s="83" t="s">
        <v>57</v>
      </c>
      <c r="Q35" s="84"/>
      <c r="R35" s="83" t="s">
        <v>58</v>
      </c>
      <c r="S35" s="84"/>
      <c r="T35" s="83" t="s">
        <v>56</v>
      </c>
      <c r="U35" s="84"/>
      <c r="V35" s="83" t="s">
        <v>57</v>
      </c>
      <c r="W35" s="84"/>
      <c r="X35" s="83" t="s">
        <v>58</v>
      </c>
      <c r="Y35" s="84"/>
      <c r="Z35" s="83" t="s">
        <v>56</v>
      </c>
      <c r="AA35" s="84"/>
      <c r="AB35" s="83" t="s">
        <v>57</v>
      </c>
      <c r="AC35" s="84"/>
      <c r="AD35" s="83" t="s">
        <v>58</v>
      </c>
      <c r="AE35" s="84"/>
      <c r="AF35" s="83" t="s">
        <v>56</v>
      </c>
      <c r="AG35" s="84"/>
      <c r="AH35" s="83" t="s">
        <v>57</v>
      </c>
      <c r="AI35" s="84"/>
      <c r="AJ35" s="83" t="s">
        <v>58</v>
      </c>
      <c r="AK35" s="84"/>
      <c r="AL35" s="83" t="s">
        <v>56</v>
      </c>
      <c r="AM35" s="84"/>
      <c r="AN35" s="90"/>
    </row>
    <row r="36" spans="2:40">
      <c r="B36" s="91"/>
      <c r="C36" s="91"/>
      <c r="D36" s="4" t="s">
        <v>59</v>
      </c>
      <c r="E36" s="4" t="s">
        <v>60</v>
      </c>
      <c r="F36" s="4" t="s">
        <v>59</v>
      </c>
      <c r="G36" s="4" t="s">
        <v>60</v>
      </c>
      <c r="H36" s="4" t="s">
        <v>59</v>
      </c>
      <c r="I36" s="4" t="s">
        <v>60</v>
      </c>
      <c r="J36" s="4" t="s">
        <v>59</v>
      </c>
      <c r="K36" s="4" t="s">
        <v>60</v>
      </c>
      <c r="L36" s="4" t="s">
        <v>59</v>
      </c>
      <c r="M36" s="4" t="s">
        <v>60</v>
      </c>
      <c r="N36" s="4" t="s">
        <v>59</v>
      </c>
      <c r="O36" s="4" t="s">
        <v>60</v>
      </c>
      <c r="P36" s="4" t="s">
        <v>59</v>
      </c>
      <c r="Q36" s="4" t="s">
        <v>60</v>
      </c>
      <c r="R36" s="4" t="s">
        <v>59</v>
      </c>
      <c r="S36" s="4" t="s">
        <v>60</v>
      </c>
      <c r="T36" s="4" t="s">
        <v>59</v>
      </c>
      <c r="U36" s="4" t="s">
        <v>60</v>
      </c>
      <c r="V36" s="4" t="s">
        <v>59</v>
      </c>
      <c r="W36" s="4" t="s">
        <v>60</v>
      </c>
      <c r="X36" s="4" t="s">
        <v>59</v>
      </c>
      <c r="Y36" s="4" t="s">
        <v>60</v>
      </c>
      <c r="Z36" s="4" t="s">
        <v>59</v>
      </c>
      <c r="AA36" s="4" t="s">
        <v>60</v>
      </c>
      <c r="AB36" s="4" t="s">
        <v>59</v>
      </c>
      <c r="AC36" s="4" t="s">
        <v>60</v>
      </c>
      <c r="AD36" s="4" t="s">
        <v>59</v>
      </c>
      <c r="AE36" s="4" t="s">
        <v>60</v>
      </c>
      <c r="AF36" s="4" t="s">
        <v>59</v>
      </c>
      <c r="AG36" s="4" t="s">
        <v>60</v>
      </c>
      <c r="AH36" s="4" t="s">
        <v>59</v>
      </c>
      <c r="AI36" s="4" t="s">
        <v>60</v>
      </c>
      <c r="AJ36" s="4" t="s">
        <v>59</v>
      </c>
      <c r="AK36" s="4" t="s">
        <v>60</v>
      </c>
      <c r="AL36" s="4" t="s">
        <v>59</v>
      </c>
      <c r="AM36" s="4" t="s">
        <v>60</v>
      </c>
      <c r="AN36" s="91"/>
    </row>
    <row r="37" spans="2:40">
      <c r="B37" s="5">
        <v>1</v>
      </c>
      <c r="C37" s="6" t="s">
        <v>61</v>
      </c>
      <c r="D37" s="7">
        <v>1566</v>
      </c>
      <c r="E37" s="5">
        <v>72.13</v>
      </c>
      <c r="F37" s="5">
        <v>605</v>
      </c>
      <c r="G37" s="5">
        <v>27.87</v>
      </c>
      <c r="H37" s="7">
        <v>2171</v>
      </c>
      <c r="I37" s="5">
        <v>9.84</v>
      </c>
      <c r="J37" s="7">
        <v>3502</v>
      </c>
      <c r="K37" s="5">
        <v>72.27</v>
      </c>
      <c r="L37" s="7">
        <v>1344</v>
      </c>
      <c r="M37" s="5">
        <v>27.73</v>
      </c>
      <c r="N37" s="7">
        <v>4846</v>
      </c>
      <c r="O37" s="5">
        <v>21.96</v>
      </c>
      <c r="P37" s="7">
        <v>4386</v>
      </c>
      <c r="Q37" s="5">
        <v>54.69</v>
      </c>
      <c r="R37" s="7">
        <v>3634</v>
      </c>
      <c r="S37" s="5">
        <v>45.31</v>
      </c>
      <c r="T37" s="7">
        <v>8020</v>
      </c>
      <c r="U37" s="5">
        <v>36.35</v>
      </c>
      <c r="V37" s="7">
        <v>2576</v>
      </c>
      <c r="W37" s="5">
        <v>50.7</v>
      </c>
      <c r="X37" s="7">
        <v>2505</v>
      </c>
      <c r="Y37" s="5">
        <v>49.3</v>
      </c>
      <c r="Z37" s="7">
        <v>5081</v>
      </c>
      <c r="AA37" s="5">
        <v>23.03</v>
      </c>
      <c r="AB37" s="5">
        <v>961</v>
      </c>
      <c r="AC37" s="5">
        <v>49.38</v>
      </c>
      <c r="AD37" s="5">
        <v>985</v>
      </c>
      <c r="AE37" s="5">
        <v>50.62</v>
      </c>
      <c r="AF37" s="7">
        <v>1946</v>
      </c>
      <c r="AG37" s="5">
        <v>8.82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7">
        <v>22064</v>
      </c>
    </row>
    <row r="38" spans="2:40">
      <c r="B38" s="5">
        <v>2</v>
      </c>
      <c r="C38" s="6" t="s">
        <v>62</v>
      </c>
      <c r="D38" s="5">
        <v>309</v>
      </c>
      <c r="E38" s="5">
        <v>83.06</v>
      </c>
      <c r="F38" s="5">
        <v>63</v>
      </c>
      <c r="G38" s="5">
        <v>16.940000000000001</v>
      </c>
      <c r="H38" s="5">
        <v>372</v>
      </c>
      <c r="I38" s="5">
        <v>11.03</v>
      </c>
      <c r="J38" s="5">
        <v>684</v>
      </c>
      <c r="K38" s="5">
        <v>82.91</v>
      </c>
      <c r="L38" s="5">
        <v>141</v>
      </c>
      <c r="M38" s="5">
        <v>17.09</v>
      </c>
      <c r="N38" s="5">
        <v>825</v>
      </c>
      <c r="O38" s="5">
        <v>24.46</v>
      </c>
      <c r="P38" s="5">
        <v>497</v>
      </c>
      <c r="Q38" s="5">
        <v>61.59</v>
      </c>
      <c r="R38" s="5">
        <v>310</v>
      </c>
      <c r="S38" s="5">
        <v>38.409999999999997</v>
      </c>
      <c r="T38" s="5">
        <v>807</v>
      </c>
      <c r="U38" s="5">
        <v>23.93</v>
      </c>
      <c r="V38" s="5">
        <v>360</v>
      </c>
      <c r="W38" s="5">
        <v>52.17</v>
      </c>
      <c r="X38" s="5">
        <v>330</v>
      </c>
      <c r="Y38" s="5">
        <v>47.83</v>
      </c>
      <c r="Z38" s="5">
        <v>690</v>
      </c>
      <c r="AA38" s="5">
        <v>20.46</v>
      </c>
      <c r="AB38" s="5">
        <v>334</v>
      </c>
      <c r="AC38" s="5">
        <v>49.19</v>
      </c>
      <c r="AD38" s="5">
        <v>345</v>
      </c>
      <c r="AE38" s="5">
        <v>50.81</v>
      </c>
      <c r="AF38" s="5">
        <v>679</v>
      </c>
      <c r="AG38" s="5">
        <v>20.13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7">
        <v>3373</v>
      </c>
    </row>
    <row r="39" spans="2:40">
      <c r="B39" s="5">
        <v>3</v>
      </c>
      <c r="C39" s="6" t="s">
        <v>63</v>
      </c>
      <c r="D39" s="5">
        <v>56</v>
      </c>
      <c r="E39" s="5">
        <v>59.57</v>
      </c>
      <c r="F39" s="5">
        <v>38</v>
      </c>
      <c r="G39" s="5">
        <v>40.43</v>
      </c>
      <c r="H39" s="5">
        <v>94</v>
      </c>
      <c r="I39" s="5">
        <v>3.78</v>
      </c>
      <c r="J39" s="5">
        <v>96</v>
      </c>
      <c r="K39" s="5">
        <v>56.14</v>
      </c>
      <c r="L39" s="5">
        <v>75</v>
      </c>
      <c r="M39" s="5">
        <v>43.86</v>
      </c>
      <c r="N39" s="5">
        <v>171</v>
      </c>
      <c r="O39" s="5">
        <v>6.87</v>
      </c>
      <c r="P39" s="5">
        <v>318</v>
      </c>
      <c r="Q39" s="5">
        <v>51.54</v>
      </c>
      <c r="R39" s="5">
        <v>299</v>
      </c>
      <c r="S39" s="5">
        <v>48.46</v>
      </c>
      <c r="T39" s="5">
        <v>617</v>
      </c>
      <c r="U39" s="5">
        <v>24.8</v>
      </c>
      <c r="V39" s="5">
        <v>431</v>
      </c>
      <c r="W39" s="5">
        <v>49.48</v>
      </c>
      <c r="X39" s="5">
        <v>440</v>
      </c>
      <c r="Y39" s="5">
        <v>50.52</v>
      </c>
      <c r="Z39" s="5">
        <v>871</v>
      </c>
      <c r="AA39" s="5">
        <v>35.01</v>
      </c>
      <c r="AB39" s="5">
        <v>313</v>
      </c>
      <c r="AC39" s="5">
        <v>42.59</v>
      </c>
      <c r="AD39" s="5">
        <v>422</v>
      </c>
      <c r="AE39" s="5">
        <v>57.41</v>
      </c>
      <c r="AF39" s="5">
        <v>735</v>
      </c>
      <c r="AG39" s="5">
        <v>29.54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7">
        <v>2488</v>
      </c>
    </row>
    <row r="40" spans="2:40">
      <c r="B40" s="5">
        <v>4</v>
      </c>
      <c r="C40" s="6" t="s">
        <v>64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  <c r="Y40" s="5">
        <v>100</v>
      </c>
      <c r="Z40" s="5">
        <v>1</v>
      </c>
      <c r="AA40" s="5">
        <v>100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1</v>
      </c>
    </row>
    <row r="41" spans="2:40">
      <c r="B41" s="85" t="s">
        <v>56</v>
      </c>
      <c r="C41" s="86"/>
      <c r="D41" s="9">
        <v>1931</v>
      </c>
      <c r="E41" s="8">
        <v>73.23</v>
      </c>
      <c r="F41" s="8">
        <v>706</v>
      </c>
      <c r="G41" s="8">
        <v>26.77</v>
      </c>
      <c r="H41" s="9">
        <v>2637</v>
      </c>
      <c r="I41" s="8">
        <v>9.44</v>
      </c>
      <c r="J41" s="9">
        <v>4282</v>
      </c>
      <c r="K41" s="8">
        <v>73.3</v>
      </c>
      <c r="L41" s="9">
        <v>1560</v>
      </c>
      <c r="M41" s="8">
        <v>26.7</v>
      </c>
      <c r="N41" s="9">
        <v>5842</v>
      </c>
      <c r="O41" s="8">
        <v>20.92</v>
      </c>
      <c r="P41" s="9">
        <v>5201</v>
      </c>
      <c r="Q41" s="8">
        <v>55.07</v>
      </c>
      <c r="R41" s="9">
        <v>4243</v>
      </c>
      <c r="S41" s="8">
        <v>44.93</v>
      </c>
      <c r="T41" s="9">
        <v>9444</v>
      </c>
      <c r="U41" s="8">
        <v>33.82</v>
      </c>
      <c r="V41" s="9">
        <v>3367</v>
      </c>
      <c r="W41" s="8">
        <v>50.68</v>
      </c>
      <c r="X41" s="9">
        <v>3276</v>
      </c>
      <c r="Y41" s="8">
        <v>49.32</v>
      </c>
      <c r="Z41" s="9">
        <v>6643</v>
      </c>
      <c r="AA41" s="8">
        <v>23.79</v>
      </c>
      <c r="AB41" s="9">
        <v>1608</v>
      </c>
      <c r="AC41" s="8">
        <v>47.86</v>
      </c>
      <c r="AD41" s="9">
        <v>1752</v>
      </c>
      <c r="AE41" s="8">
        <v>52.14</v>
      </c>
      <c r="AF41" s="9">
        <v>3360</v>
      </c>
      <c r="AG41" s="8">
        <v>12.03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9">
        <v>27926</v>
      </c>
    </row>
    <row r="42" spans="2:40"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  <c r="AM42" s="82"/>
      <c r="AN42" s="82"/>
    </row>
    <row r="43" spans="2:40"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</row>
    <row r="44" spans="2:40">
      <c r="B44" s="1" t="s">
        <v>41</v>
      </c>
      <c r="C44" s="1" t="s">
        <v>42</v>
      </c>
      <c r="D44" s="2" t="s">
        <v>43</v>
      </c>
    </row>
    <row r="45" spans="2:40">
      <c r="B45" s="1" t="s">
        <v>44</v>
      </c>
      <c r="C45" s="1" t="s">
        <v>42</v>
      </c>
      <c r="D45" s="2" t="s">
        <v>97</v>
      </c>
    </row>
    <row r="46" spans="2:40">
      <c r="B46" s="1" t="s">
        <v>1</v>
      </c>
      <c r="C46" s="1" t="s">
        <v>42</v>
      </c>
      <c r="D46" s="2" t="s">
        <v>101</v>
      </c>
    </row>
    <row r="47" spans="2:40">
      <c r="B47" s="1" t="s">
        <v>47</v>
      </c>
      <c r="C47" s="1" t="s">
        <v>42</v>
      </c>
      <c r="D47" s="3">
        <v>46184</v>
      </c>
    </row>
    <row r="48" spans="2:40">
      <c r="B48" s="89" t="s">
        <v>48</v>
      </c>
      <c r="C48" s="89" t="s">
        <v>49</v>
      </c>
      <c r="D48" s="83" t="s">
        <v>50</v>
      </c>
      <c r="E48" s="88"/>
      <c r="F48" s="88"/>
      <c r="G48" s="88"/>
      <c r="H48" s="88"/>
      <c r="I48" s="84"/>
      <c r="J48" s="83" t="s">
        <v>51</v>
      </c>
      <c r="K48" s="88"/>
      <c r="L48" s="88"/>
      <c r="M48" s="88"/>
      <c r="N48" s="88"/>
      <c r="O48" s="84"/>
      <c r="P48" s="83" t="s">
        <v>52</v>
      </c>
      <c r="Q48" s="88"/>
      <c r="R48" s="88"/>
      <c r="S48" s="88"/>
      <c r="T48" s="88"/>
      <c r="U48" s="84"/>
      <c r="V48" s="83" t="s">
        <v>53</v>
      </c>
      <c r="W48" s="88"/>
      <c r="X48" s="88"/>
      <c r="Y48" s="88"/>
      <c r="Z48" s="88"/>
      <c r="AA48" s="84"/>
      <c r="AB48" s="83" t="s">
        <v>54</v>
      </c>
      <c r="AC48" s="88"/>
      <c r="AD48" s="88"/>
      <c r="AE48" s="88"/>
      <c r="AF48" s="88"/>
      <c r="AG48" s="84"/>
      <c r="AH48" s="83" t="s">
        <v>55</v>
      </c>
      <c r="AI48" s="88"/>
      <c r="AJ48" s="88"/>
      <c r="AK48" s="88"/>
      <c r="AL48" s="88"/>
      <c r="AM48" s="84"/>
      <c r="AN48" s="89" t="s">
        <v>56</v>
      </c>
    </row>
    <row r="49" spans="2:40">
      <c r="B49" s="90"/>
      <c r="C49" s="90"/>
      <c r="D49" s="83" t="s">
        <v>57</v>
      </c>
      <c r="E49" s="84"/>
      <c r="F49" s="83" t="s">
        <v>58</v>
      </c>
      <c r="G49" s="84"/>
      <c r="H49" s="83" t="s">
        <v>56</v>
      </c>
      <c r="I49" s="84"/>
      <c r="J49" s="83" t="s">
        <v>57</v>
      </c>
      <c r="K49" s="84"/>
      <c r="L49" s="83" t="s">
        <v>58</v>
      </c>
      <c r="M49" s="84"/>
      <c r="N49" s="83" t="s">
        <v>56</v>
      </c>
      <c r="O49" s="84"/>
      <c r="P49" s="83" t="s">
        <v>57</v>
      </c>
      <c r="Q49" s="84"/>
      <c r="R49" s="83" t="s">
        <v>58</v>
      </c>
      <c r="S49" s="84"/>
      <c r="T49" s="83" t="s">
        <v>56</v>
      </c>
      <c r="U49" s="84"/>
      <c r="V49" s="83" t="s">
        <v>57</v>
      </c>
      <c r="W49" s="84"/>
      <c r="X49" s="83" t="s">
        <v>58</v>
      </c>
      <c r="Y49" s="84"/>
      <c r="Z49" s="83" t="s">
        <v>56</v>
      </c>
      <c r="AA49" s="84"/>
      <c r="AB49" s="83" t="s">
        <v>57</v>
      </c>
      <c r="AC49" s="84"/>
      <c r="AD49" s="83" t="s">
        <v>58</v>
      </c>
      <c r="AE49" s="84"/>
      <c r="AF49" s="83" t="s">
        <v>56</v>
      </c>
      <c r="AG49" s="84"/>
      <c r="AH49" s="83" t="s">
        <v>57</v>
      </c>
      <c r="AI49" s="84"/>
      <c r="AJ49" s="83" t="s">
        <v>58</v>
      </c>
      <c r="AK49" s="84"/>
      <c r="AL49" s="83" t="s">
        <v>56</v>
      </c>
      <c r="AM49" s="84"/>
      <c r="AN49" s="90"/>
    </row>
    <row r="50" spans="2:40">
      <c r="B50" s="91"/>
      <c r="C50" s="91"/>
      <c r="D50" s="4" t="s">
        <v>59</v>
      </c>
      <c r="E50" s="4" t="s">
        <v>60</v>
      </c>
      <c r="F50" s="4" t="s">
        <v>59</v>
      </c>
      <c r="G50" s="4" t="s">
        <v>60</v>
      </c>
      <c r="H50" s="4" t="s">
        <v>59</v>
      </c>
      <c r="I50" s="4" t="s">
        <v>60</v>
      </c>
      <c r="J50" s="4" t="s">
        <v>59</v>
      </c>
      <c r="K50" s="4" t="s">
        <v>60</v>
      </c>
      <c r="L50" s="4" t="s">
        <v>59</v>
      </c>
      <c r="M50" s="4" t="s">
        <v>60</v>
      </c>
      <c r="N50" s="4" t="s">
        <v>59</v>
      </c>
      <c r="O50" s="4" t="s">
        <v>60</v>
      </c>
      <c r="P50" s="4" t="s">
        <v>59</v>
      </c>
      <c r="Q50" s="4" t="s">
        <v>60</v>
      </c>
      <c r="R50" s="4" t="s">
        <v>59</v>
      </c>
      <c r="S50" s="4" t="s">
        <v>60</v>
      </c>
      <c r="T50" s="4" t="s">
        <v>59</v>
      </c>
      <c r="U50" s="4" t="s">
        <v>60</v>
      </c>
      <c r="V50" s="4" t="s">
        <v>59</v>
      </c>
      <c r="W50" s="4" t="s">
        <v>60</v>
      </c>
      <c r="X50" s="4" t="s">
        <v>59</v>
      </c>
      <c r="Y50" s="4" t="s">
        <v>60</v>
      </c>
      <c r="Z50" s="4" t="s">
        <v>59</v>
      </c>
      <c r="AA50" s="4" t="s">
        <v>60</v>
      </c>
      <c r="AB50" s="4" t="s">
        <v>59</v>
      </c>
      <c r="AC50" s="4" t="s">
        <v>60</v>
      </c>
      <c r="AD50" s="4" t="s">
        <v>59</v>
      </c>
      <c r="AE50" s="4" t="s">
        <v>60</v>
      </c>
      <c r="AF50" s="4" t="s">
        <v>59</v>
      </c>
      <c r="AG50" s="4" t="s">
        <v>60</v>
      </c>
      <c r="AH50" s="4" t="s">
        <v>59</v>
      </c>
      <c r="AI50" s="4" t="s">
        <v>60</v>
      </c>
      <c r="AJ50" s="4" t="s">
        <v>59</v>
      </c>
      <c r="AK50" s="4" t="s">
        <v>60</v>
      </c>
      <c r="AL50" s="4" t="s">
        <v>59</v>
      </c>
      <c r="AM50" s="4" t="s">
        <v>60</v>
      </c>
      <c r="AN50" s="91"/>
    </row>
    <row r="51" spans="2:40">
      <c r="B51" s="5">
        <v>1</v>
      </c>
      <c r="C51" s="6" t="s">
        <v>61</v>
      </c>
      <c r="D51" s="5">
        <v>265</v>
      </c>
      <c r="E51" s="5">
        <v>52.79</v>
      </c>
      <c r="F51" s="5">
        <v>237</v>
      </c>
      <c r="G51" s="5">
        <v>47.21</v>
      </c>
      <c r="H51" s="5">
        <v>502</v>
      </c>
      <c r="I51" s="5">
        <v>3.71</v>
      </c>
      <c r="J51" s="5">
        <v>677</v>
      </c>
      <c r="K51" s="5">
        <v>55.4</v>
      </c>
      <c r="L51" s="5">
        <v>545</v>
      </c>
      <c r="M51" s="5">
        <v>44.6</v>
      </c>
      <c r="N51" s="7">
        <v>1222</v>
      </c>
      <c r="O51" s="5">
        <v>9.0299999999999994</v>
      </c>
      <c r="P51" s="7">
        <v>2874</v>
      </c>
      <c r="Q51" s="5">
        <v>54.11</v>
      </c>
      <c r="R51" s="7">
        <v>2437</v>
      </c>
      <c r="S51" s="5">
        <v>45.89</v>
      </c>
      <c r="T51" s="7">
        <v>5311</v>
      </c>
      <c r="U51" s="5">
        <v>39.229999999999997</v>
      </c>
      <c r="V51" s="7">
        <v>2155</v>
      </c>
      <c r="W51" s="5">
        <v>48.6</v>
      </c>
      <c r="X51" s="7">
        <v>2279</v>
      </c>
      <c r="Y51" s="5">
        <v>51.4</v>
      </c>
      <c r="Z51" s="7">
        <v>4434</v>
      </c>
      <c r="AA51" s="5">
        <v>32.75</v>
      </c>
      <c r="AB51" s="5">
        <v>933</v>
      </c>
      <c r="AC51" s="5">
        <v>45.12</v>
      </c>
      <c r="AD51" s="7">
        <v>1135</v>
      </c>
      <c r="AE51" s="5">
        <v>54.88</v>
      </c>
      <c r="AF51" s="7">
        <v>2068</v>
      </c>
      <c r="AG51" s="5">
        <v>15.28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7">
        <v>13537</v>
      </c>
    </row>
    <row r="52" spans="2:40">
      <c r="B52" s="5">
        <v>2</v>
      </c>
      <c r="C52" s="6" t="s">
        <v>62</v>
      </c>
      <c r="D52" s="5">
        <v>59</v>
      </c>
      <c r="E52" s="5">
        <v>54.13</v>
      </c>
      <c r="F52" s="5">
        <v>50</v>
      </c>
      <c r="G52" s="5">
        <v>45.87</v>
      </c>
      <c r="H52" s="5">
        <v>109</v>
      </c>
      <c r="I52" s="5">
        <v>2.88</v>
      </c>
      <c r="J52" s="5">
        <v>132</v>
      </c>
      <c r="K52" s="5">
        <v>53.66</v>
      </c>
      <c r="L52" s="5">
        <v>114</v>
      </c>
      <c r="M52" s="5">
        <v>46.34</v>
      </c>
      <c r="N52" s="5">
        <v>246</v>
      </c>
      <c r="O52" s="5">
        <v>6.5</v>
      </c>
      <c r="P52" s="5">
        <v>494</v>
      </c>
      <c r="Q52" s="5">
        <v>51.95</v>
      </c>
      <c r="R52" s="5">
        <v>457</v>
      </c>
      <c r="S52" s="5">
        <v>48.05</v>
      </c>
      <c r="T52" s="5">
        <v>951</v>
      </c>
      <c r="U52" s="5">
        <v>25.13</v>
      </c>
      <c r="V52" s="5">
        <v>731</v>
      </c>
      <c r="W52" s="5">
        <v>56.67</v>
      </c>
      <c r="X52" s="5">
        <v>559</v>
      </c>
      <c r="Y52" s="5">
        <v>43.33</v>
      </c>
      <c r="Z52" s="7">
        <v>1290</v>
      </c>
      <c r="AA52" s="5">
        <v>34.090000000000003</v>
      </c>
      <c r="AB52" s="5">
        <v>582</v>
      </c>
      <c r="AC52" s="5">
        <v>48.99</v>
      </c>
      <c r="AD52" s="5">
        <v>606</v>
      </c>
      <c r="AE52" s="5">
        <v>51.01</v>
      </c>
      <c r="AF52" s="7">
        <v>1188</v>
      </c>
      <c r="AG52" s="5">
        <v>31.4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7">
        <v>3784</v>
      </c>
    </row>
    <row r="53" spans="2:40">
      <c r="B53" s="5">
        <v>3</v>
      </c>
      <c r="C53" s="6" t="s">
        <v>63</v>
      </c>
      <c r="D53" s="5">
        <v>60</v>
      </c>
      <c r="E53" s="5">
        <v>48.39</v>
      </c>
      <c r="F53" s="5">
        <v>64</v>
      </c>
      <c r="G53" s="5">
        <v>51.61</v>
      </c>
      <c r="H53" s="5">
        <v>124</v>
      </c>
      <c r="I53" s="5">
        <v>3.6</v>
      </c>
      <c r="J53" s="5">
        <v>137</v>
      </c>
      <c r="K53" s="5">
        <v>51.12</v>
      </c>
      <c r="L53" s="5">
        <v>131</v>
      </c>
      <c r="M53" s="5">
        <v>48.88</v>
      </c>
      <c r="N53" s="5">
        <v>268</v>
      </c>
      <c r="O53" s="5">
        <v>7.77</v>
      </c>
      <c r="P53" s="5">
        <v>560</v>
      </c>
      <c r="Q53" s="5">
        <v>51.42</v>
      </c>
      <c r="R53" s="5">
        <v>529</v>
      </c>
      <c r="S53" s="5">
        <v>48.58</v>
      </c>
      <c r="T53" s="7">
        <v>1089</v>
      </c>
      <c r="U53" s="5">
        <v>31.59</v>
      </c>
      <c r="V53" s="5">
        <v>602</v>
      </c>
      <c r="W53" s="5">
        <v>49.75</v>
      </c>
      <c r="X53" s="5">
        <v>608</v>
      </c>
      <c r="Y53" s="5">
        <v>50.25</v>
      </c>
      <c r="Z53" s="7">
        <v>1210</v>
      </c>
      <c r="AA53" s="5">
        <v>35.1</v>
      </c>
      <c r="AB53" s="5">
        <v>321</v>
      </c>
      <c r="AC53" s="5">
        <v>42.46</v>
      </c>
      <c r="AD53" s="5">
        <v>435</v>
      </c>
      <c r="AE53" s="5">
        <v>57.54</v>
      </c>
      <c r="AF53" s="5">
        <v>756</v>
      </c>
      <c r="AG53" s="5">
        <v>21.93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7">
        <v>3447</v>
      </c>
    </row>
    <row r="54" spans="2:40">
      <c r="B54" s="5">
        <v>4</v>
      </c>
      <c r="C54" s="6" t="s">
        <v>64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</row>
    <row r="55" spans="2:40">
      <c r="B55" s="85" t="s">
        <v>56</v>
      </c>
      <c r="C55" s="86"/>
      <c r="D55" s="8">
        <v>384</v>
      </c>
      <c r="E55" s="8">
        <v>52.24</v>
      </c>
      <c r="F55" s="8">
        <v>351</v>
      </c>
      <c r="G55" s="8">
        <v>47.76</v>
      </c>
      <c r="H55" s="8">
        <v>735</v>
      </c>
      <c r="I55" s="8">
        <v>3.54</v>
      </c>
      <c r="J55" s="8">
        <v>946</v>
      </c>
      <c r="K55" s="8">
        <v>54.49</v>
      </c>
      <c r="L55" s="8">
        <v>790</v>
      </c>
      <c r="M55" s="8">
        <v>45.51</v>
      </c>
      <c r="N55" s="9">
        <v>1736</v>
      </c>
      <c r="O55" s="8">
        <v>8.36</v>
      </c>
      <c r="P55" s="9">
        <v>3928</v>
      </c>
      <c r="Q55" s="8">
        <v>53.43</v>
      </c>
      <c r="R55" s="9">
        <v>3423</v>
      </c>
      <c r="S55" s="8">
        <v>46.57</v>
      </c>
      <c r="T55" s="9">
        <v>7351</v>
      </c>
      <c r="U55" s="8">
        <v>35.4</v>
      </c>
      <c r="V55" s="9">
        <v>3488</v>
      </c>
      <c r="W55" s="8">
        <v>50.3</v>
      </c>
      <c r="X55" s="9">
        <v>3446</v>
      </c>
      <c r="Y55" s="8">
        <v>49.7</v>
      </c>
      <c r="Z55" s="9">
        <v>6934</v>
      </c>
      <c r="AA55" s="8">
        <v>33.39</v>
      </c>
      <c r="AB55" s="9">
        <v>1836</v>
      </c>
      <c r="AC55" s="8">
        <v>45.76</v>
      </c>
      <c r="AD55" s="9">
        <v>2176</v>
      </c>
      <c r="AE55" s="8">
        <v>54.24</v>
      </c>
      <c r="AF55" s="9">
        <v>4012</v>
      </c>
      <c r="AG55" s="8">
        <v>19.32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9">
        <v>20768</v>
      </c>
    </row>
    <row r="56" spans="2:40"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</row>
    <row r="57" spans="2:40"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</row>
    <row r="58" spans="2:40">
      <c r="B58" s="1" t="s">
        <v>41</v>
      </c>
      <c r="C58" s="1" t="s">
        <v>42</v>
      </c>
      <c r="D58" s="2" t="s">
        <v>43</v>
      </c>
    </row>
    <row r="59" spans="2:40">
      <c r="B59" s="1" t="s">
        <v>44</v>
      </c>
      <c r="C59" s="1" t="s">
        <v>42</v>
      </c>
      <c r="D59" s="2" t="s">
        <v>97</v>
      </c>
    </row>
    <row r="60" spans="2:40">
      <c r="B60" s="1" t="s">
        <v>1</v>
      </c>
      <c r="C60" s="1" t="s">
        <v>42</v>
      </c>
      <c r="D60" s="2" t="s">
        <v>102</v>
      </c>
    </row>
    <row r="61" spans="2:40">
      <c r="B61" s="1" t="s">
        <v>47</v>
      </c>
      <c r="C61" s="1" t="s">
        <v>42</v>
      </c>
      <c r="D61" s="3">
        <v>46184</v>
      </c>
    </row>
    <row r="62" spans="2:40">
      <c r="B62" s="89" t="s">
        <v>48</v>
      </c>
      <c r="C62" s="89" t="s">
        <v>49</v>
      </c>
      <c r="D62" s="83" t="s">
        <v>50</v>
      </c>
      <c r="E62" s="88"/>
      <c r="F62" s="88"/>
      <c r="G62" s="88"/>
      <c r="H62" s="88"/>
      <c r="I62" s="84"/>
      <c r="J62" s="83" t="s">
        <v>51</v>
      </c>
      <c r="K62" s="88"/>
      <c r="L62" s="88"/>
      <c r="M62" s="88"/>
      <c r="N62" s="88"/>
      <c r="O62" s="84"/>
      <c r="P62" s="83" t="s">
        <v>52</v>
      </c>
      <c r="Q62" s="88"/>
      <c r="R62" s="88"/>
      <c r="S62" s="88"/>
      <c r="T62" s="88"/>
      <c r="U62" s="84"/>
      <c r="V62" s="83" t="s">
        <v>53</v>
      </c>
      <c r="W62" s="88"/>
      <c r="X62" s="88"/>
      <c r="Y62" s="88"/>
      <c r="Z62" s="88"/>
      <c r="AA62" s="84"/>
      <c r="AB62" s="83" t="s">
        <v>54</v>
      </c>
      <c r="AC62" s="88"/>
      <c r="AD62" s="88"/>
      <c r="AE62" s="88"/>
      <c r="AF62" s="88"/>
      <c r="AG62" s="84"/>
      <c r="AH62" s="83" t="s">
        <v>55</v>
      </c>
      <c r="AI62" s="88"/>
      <c r="AJ62" s="88"/>
      <c r="AK62" s="88"/>
      <c r="AL62" s="88"/>
      <c r="AM62" s="84"/>
      <c r="AN62" s="89" t="s">
        <v>56</v>
      </c>
    </row>
    <row r="63" spans="2:40">
      <c r="B63" s="90"/>
      <c r="C63" s="90"/>
      <c r="D63" s="83" t="s">
        <v>57</v>
      </c>
      <c r="E63" s="84"/>
      <c r="F63" s="83" t="s">
        <v>58</v>
      </c>
      <c r="G63" s="84"/>
      <c r="H63" s="83" t="s">
        <v>56</v>
      </c>
      <c r="I63" s="84"/>
      <c r="J63" s="83" t="s">
        <v>57</v>
      </c>
      <c r="K63" s="84"/>
      <c r="L63" s="83" t="s">
        <v>58</v>
      </c>
      <c r="M63" s="84"/>
      <c r="N63" s="83" t="s">
        <v>56</v>
      </c>
      <c r="O63" s="84"/>
      <c r="P63" s="83" t="s">
        <v>57</v>
      </c>
      <c r="Q63" s="84"/>
      <c r="R63" s="83" t="s">
        <v>58</v>
      </c>
      <c r="S63" s="84"/>
      <c r="T63" s="83" t="s">
        <v>56</v>
      </c>
      <c r="U63" s="84"/>
      <c r="V63" s="83" t="s">
        <v>57</v>
      </c>
      <c r="W63" s="84"/>
      <c r="X63" s="83" t="s">
        <v>58</v>
      </c>
      <c r="Y63" s="84"/>
      <c r="Z63" s="83" t="s">
        <v>56</v>
      </c>
      <c r="AA63" s="84"/>
      <c r="AB63" s="83" t="s">
        <v>57</v>
      </c>
      <c r="AC63" s="84"/>
      <c r="AD63" s="83" t="s">
        <v>58</v>
      </c>
      <c r="AE63" s="84"/>
      <c r="AF63" s="83" t="s">
        <v>56</v>
      </c>
      <c r="AG63" s="84"/>
      <c r="AH63" s="83" t="s">
        <v>57</v>
      </c>
      <c r="AI63" s="84"/>
      <c r="AJ63" s="83" t="s">
        <v>58</v>
      </c>
      <c r="AK63" s="84"/>
      <c r="AL63" s="83" t="s">
        <v>56</v>
      </c>
      <c r="AM63" s="84"/>
      <c r="AN63" s="90"/>
    </row>
    <row r="64" spans="2:40">
      <c r="B64" s="91"/>
      <c r="C64" s="91"/>
      <c r="D64" s="4" t="s">
        <v>59</v>
      </c>
      <c r="E64" s="4" t="s">
        <v>60</v>
      </c>
      <c r="F64" s="4" t="s">
        <v>59</v>
      </c>
      <c r="G64" s="4" t="s">
        <v>60</v>
      </c>
      <c r="H64" s="4" t="s">
        <v>59</v>
      </c>
      <c r="I64" s="4" t="s">
        <v>60</v>
      </c>
      <c r="J64" s="4" t="s">
        <v>59</v>
      </c>
      <c r="K64" s="4" t="s">
        <v>60</v>
      </c>
      <c r="L64" s="4" t="s">
        <v>59</v>
      </c>
      <c r="M64" s="4" t="s">
        <v>60</v>
      </c>
      <c r="N64" s="4" t="s">
        <v>59</v>
      </c>
      <c r="O64" s="4" t="s">
        <v>60</v>
      </c>
      <c r="P64" s="4" t="s">
        <v>59</v>
      </c>
      <c r="Q64" s="4" t="s">
        <v>60</v>
      </c>
      <c r="R64" s="4" t="s">
        <v>59</v>
      </c>
      <c r="S64" s="4" t="s">
        <v>60</v>
      </c>
      <c r="T64" s="4" t="s">
        <v>59</v>
      </c>
      <c r="U64" s="4" t="s">
        <v>60</v>
      </c>
      <c r="V64" s="4" t="s">
        <v>59</v>
      </c>
      <c r="W64" s="4" t="s">
        <v>60</v>
      </c>
      <c r="X64" s="4" t="s">
        <v>59</v>
      </c>
      <c r="Y64" s="4" t="s">
        <v>60</v>
      </c>
      <c r="Z64" s="4" t="s">
        <v>59</v>
      </c>
      <c r="AA64" s="4" t="s">
        <v>60</v>
      </c>
      <c r="AB64" s="4" t="s">
        <v>59</v>
      </c>
      <c r="AC64" s="4" t="s">
        <v>60</v>
      </c>
      <c r="AD64" s="4" t="s">
        <v>59</v>
      </c>
      <c r="AE64" s="4" t="s">
        <v>60</v>
      </c>
      <c r="AF64" s="4" t="s">
        <v>59</v>
      </c>
      <c r="AG64" s="4" t="s">
        <v>60</v>
      </c>
      <c r="AH64" s="4" t="s">
        <v>59</v>
      </c>
      <c r="AI64" s="4" t="s">
        <v>60</v>
      </c>
      <c r="AJ64" s="4" t="s">
        <v>59</v>
      </c>
      <c r="AK64" s="4" t="s">
        <v>60</v>
      </c>
      <c r="AL64" s="4" t="s">
        <v>59</v>
      </c>
      <c r="AM64" s="4" t="s">
        <v>60</v>
      </c>
      <c r="AN64" s="91"/>
    </row>
    <row r="65" spans="2:40">
      <c r="B65" s="5">
        <v>1</v>
      </c>
      <c r="C65" s="6" t="s">
        <v>61</v>
      </c>
      <c r="D65" s="5">
        <v>199</v>
      </c>
      <c r="E65" s="5">
        <v>46.93</v>
      </c>
      <c r="F65" s="5">
        <v>225</v>
      </c>
      <c r="G65" s="5">
        <v>53.07</v>
      </c>
      <c r="H65" s="5">
        <v>424</v>
      </c>
      <c r="I65" s="5">
        <v>5.0999999999999996</v>
      </c>
      <c r="J65" s="5">
        <v>444</v>
      </c>
      <c r="K65" s="5">
        <v>49.22</v>
      </c>
      <c r="L65" s="5">
        <v>458</v>
      </c>
      <c r="M65" s="5">
        <v>50.78</v>
      </c>
      <c r="N65" s="5">
        <v>902</v>
      </c>
      <c r="O65" s="5">
        <v>10.85</v>
      </c>
      <c r="P65" s="7">
        <v>1606</v>
      </c>
      <c r="Q65" s="5">
        <v>52.76</v>
      </c>
      <c r="R65" s="7">
        <v>1438</v>
      </c>
      <c r="S65" s="5">
        <v>47.24</v>
      </c>
      <c r="T65" s="7">
        <v>3044</v>
      </c>
      <c r="U65" s="5">
        <v>36.6</v>
      </c>
      <c r="V65" s="7">
        <v>1229</v>
      </c>
      <c r="W65" s="5">
        <v>50.16</v>
      </c>
      <c r="X65" s="7">
        <v>1221</v>
      </c>
      <c r="Y65" s="5">
        <v>49.84</v>
      </c>
      <c r="Z65" s="7">
        <v>2450</v>
      </c>
      <c r="AA65" s="5">
        <v>29.46</v>
      </c>
      <c r="AB65" s="5">
        <v>746</v>
      </c>
      <c r="AC65" s="5">
        <v>49.87</v>
      </c>
      <c r="AD65" s="5">
        <v>750</v>
      </c>
      <c r="AE65" s="5">
        <v>50.13</v>
      </c>
      <c r="AF65" s="7">
        <v>1496</v>
      </c>
      <c r="AG65" s="5">
        <v>17.989999999999998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7">
        <v>8316</v>
      </c>
    </row>
    <row r="66" spans="2:40">
      <c r="B66" s="5">
        <v>2</v>
      </c>
      <c r="C66" s="6" t="s">
        <v>62</v>
      </c>
      <c r="D66" s="5">
        <v>122</v>
      </c>
      <c r="E66" s="5">
        <v>51.05</v>
      </c>
      <c r="F66" s="5">
        <v>117</v>
      </c>
      <c r="G66" s="5">
        <v>48.95</v>
      </c>
      <c r="H66" s="5">
        <v>239</v>
      </c>
      <c r="I66" s="5">
        <v>3.7</v>
      </c>
      <c r="J66" s="5">
        <v>271</v>
      </c>
      <c r="K66" s="5">
        <v>52.32</v>
      </c>
      <c r="L66" s="5">
        <v>247</v>
      </c>
      <c r="M66" s="5">
        <v>47.68</v>
      </c>
      <c r="N66" s="5">
        <v>518</v>
      </c>
      <c r="O66" s="5">
        <v>8.0299999999999994</v>
      </c>
      <c r="P66" s="5">
        <v>952</v>
      </c>
      <c r="Q66" s="5">
        <v>53.51</v>
      </c>
      <c r="R66" s="5">
        <v>827</v>
      </c>
      <c r="S66" s="5">
        <v>46.49</v>
      </c>
      <c r="T66" s="7">
        <v>1779</v>
      </c>
      <c r="U66" s="5">
        <v>27.57</v>
      </c>
      <c r="V66" s="7">
        <v>1032</v>
      </c>
      <c r="W66" s="5">
        <v>50.27</v>
      </c>
      <c r="X66" s="7">
        <v>1021</v>
      </c>
      <c r="Y66" s="5">
        <v>49.73</v>
      </c>
      <c r="Z66" s="7">
        <v>2053</v>
      </c>
      <c r="AA66" s="5">
        <v>31.81</v>
      </c>
      <c r="AB66" s="5">
        <v>851</v>
      </c>
      <c r="AC66" s="5">
        <v>45.65</v>
      </c>
      <c r="AD66" s="7">
        <v>1013</v>
      </c>
      <c r="AE66" s="5">
        <v>54.35</v>
      </c>
      <c r="AF66" s="7">
        <v>1864</v>
      </c>
      <c r="AG66" s="5">
        <v>28.89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7">
        <v>6453</v>
      </c>
    </row>
    <row r="67" spans="2:40">
      <c r="B67" s="5">
        <v>3</v>
      </c>
      <c r="C67" s="6" t="s">
        <v>63</v>
      </c>
      <c r="D67" s="5">
        <v>58</v>
      </c>
      <c r="E67" s="5">
        <v>52.25</v>
      </c>
      <c r="F67" s="5">
        <v>53</v>
      </c>
      <c r="G67" s="5">
        <v>47.75</v>
      </c>
      <c r="H67" s="5">
        <v>111</v>
      </c>
      <c r="I67" s="5">
        <v>2.31</v>
      </c>
      <c r="J67" s="5">
        <v>155</v>
      </c>
      <c r="K67" s="5">
        <v>51.67</v>
      </c>
      <c r="L67" s="5">
        <v>145</v>
      </c>
      <c r="M67" s="5">
        <v>48.33</v>
      </c>
      <c r="N67" s="5">
        <v>300</v>
      </c>
      <c r="O67" s="5">
        <v>6.24</v>
      </c>
      <c r="P67" s="5">
        <v>611</v>
      </c>
      <c r="Q67" s="5">
        <v>47.96</v>
      </c>
      <c r="R67" s="5">
        <v>663</v>
      </c>
      <c r="S67" s="5">
        <v>52.04</v>
      </c>
      <c r="T67" s="7">
        <v>1274</v>
      </c>
      <c r="U67" s="5">
        <v>26.49</v>
      </c>
      <c r="V67" s="5">
        <v>815</v>
      </c>
      <c r="W67" s="5">
        <v>47.66</v>
      </c>
      <c r="X67" s="5">
        <v>895</v>
      </c>
      <c r="Y67" s="5">
        <v>52.34</v>
      </c>
      <c r="Z67" s="7">
        <v>1710</v>
      </c>
      <c r="AA67" s="5">
        <v>35.549999999999997</v>
      </c>
      <c r="AB67" s="5">
        <v>613</v>
      </c>
      <c r="AC67" s="5">
        <v>43.32</v>
      </c>
      <c r="AD67" s="5">
        <v>802</v>
      </c>
      <c r="AE67" s="5">
        <v>56.68</v>
      </c>
      <c r="AF67" s="7">
        <v>1415</v>
      </c>
      <c r="AG67" s="5">
        <v>29.42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7">
        <v>4810</v>
      </c>
    </row>
    <row r="68" spans="2:40">
      <c r="B68" s="5">
        <v>4</v>
      </c>
      <c r="C68" s="6" t="s">
        <v>64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1</v>
      </c>
      <c r="K68" s="5">
        <v>50</v>
      </c>
      <c r="L68" s="5">
        <v>1</v>
      </c>
      <c r="M68" s="5">
        <v>50</v>
      </c>
      <c r="N68" s="5">
        <v>2</v>
      </c>
      <c r="O68" s="5">
        <v>33.33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  <c r="Y68" s="5">
        <v>100</v>
      </c>
      <c r="Z68" s="5">
        <v>1</v>
      </c>
      <c r="AA68" s="5">
        <v>16.670000000000002</v>
      </c>
      <c r="AB68" s="5">
        <v>1</v>
      </c>
      <c r="AC68" s="5">
        <v>33.33</v>
      </c>
      <c r="AD68" s="5">
        <v>2</v>
      </c>
      <c r="AE68" s="5">
        <v>66.67</v>
      </c>
      <c r="AF68" s="5">
        <v>3</v>
      </c>
      <c r="AG68" s="5">
        <v>50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6</v>
      </c>
    </row>
    <row r="69" spans="2:40">
      <c r="B69" s="85" t="s">
        <v>56</v>
      </c>
      <c r="C69" s="86"/>
      <c r="D69" s="8">
        <v>379</v>
      </c>
      <c r="E69" s="8">
        <v>48.97</v>
      </c>
      <c r="F69" s="8">
        <v>395</v>
      </c>
      <c r="G69" s="8">
        <v>51.03</v>
      </c>
      <c r="H69" s="8">
        <v>774</v>
      </c>
      <c r="I69" s="8">
        <v>3.95</v>
      </c>
      <c r="J69" s="8">
        <v>871</v>
      </c>
      <c r="K69" s="8">
        <v>50.58</v>
      </c>
      <c r="L69" s="8">
        <v>851</v>
      </c>
      <c r="M69" s="8">
        <v>49.42</v>
      </c>
      <c r="N69" s="9">
        <v>1722</v>
      </c>
      <c r="O69" s="8">
        <v>8.7899999999999991</v>
      </c>
      <c r="P69" s="9">
        <v>3169</v>
      </c>
      <c r="Q69" s="8">
        <v>51.98</v>
      </c>
      <c r="R69" s="9">
        <v>2928</v>
      </c>
      <c r="S69" s="8">
        <v>48.02</v>
      </c>
      <c r="T69" s="9">
        <v>6097</v>
      </c>
      <c r="U69" s="8">
        <v>31.13</v>
      </c>
      <c r="V69" s="9">
        <v>3076</v>
      </c>
      <c r="W69" s="8">
        <v>49.5</v>
      </c>
      <c r="X69" s="9">
        <v>3138</v>
      </c>
      <c r="Y69" s="8">
        <v>50.5</v>
      </c>
      <c r="Z69" s="9">
        <v>6214</v>
      </c>
      <c r="AA69" s="8">
        <v>31.73</v>
      </c>
      <c r="AB69" s="9">
        <v>2211</v>
      </c>
      <c r="AC69" s="8">
        <v>46.27</v>
      </c>
      <c r="AD69" s="9">
        <v>2567</v>
      </c>
      <c r="AE69" s="8">
        <v>53.73</v>
      </c>
      <c r="AF69" s="9">
        <v>4778</v>
      </c>
      <c r="AG69" s="8">
        <v>24.4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9">
        <v>19585</v>
      </c>
    </row>
    <row r="70" spans="2:40"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  <c r="AM70" s="82"/>
      <c r="AN70" s="82"/>
    </row>
  </sheetData>
  <mergeCells count="149">
    <mergeCell ref="AB6:AG6"/>
    <mergeCell ref="AH6:AM6"/>
    <mergeCell ref="AN6:AN8"/>
    <mergeCell ref="D7:E7"/>
    <mergeCell ref="F7:G7"/>
    <mergeCell ref="H7:I7"/>
    <mergeCell ref="J7:K7"/>
    <mergeCell ref="L7:M7"/>
    <mergeCell ref="N7:O7"/>
    <mergeCell ref="P7:Q7"/>
    <mergeCell ref="D6:I6"/>
    <mergeCell ref="J6:O6"/>
    <mergeCell ref="P6:U6"/>
    <mergeCell ref="V6:AA6"/>
    <mergeCell ref="R7:S7"/>
    <mergeCell ref="T7:U7"/>
    <mergeCell ref="V7:W7"/>
    <mergeCell ref="X7:Y7"/>
    <mergeCell ref="AL7:AM7"/>
    <mergeCell ref="B13:C13"/>
    <mergeCell ref="B20:B22"/>
    <mergeCell ref="C20:C22"/>
    <mergeCell ref="D20:I20"/>
    <mergeCell ref="J20:O20"/>
    <mergeCell ref="P20:U20"/>
    <mergeCell ref="V20:AA20"/>
    <mergeCell ref="AB20:AG20"/>
    <mergeCell ref="AH20:AM20"/>
    <mergeCell ref="Z7:AA7"/>
    <mergeCell ref="AB7:AC7"/>
    <mergeCell ref="AD7:AE7"/>
    <mergeCell ref="AF7:AG7"/>
    <mergeCell ref="AH7:AI7"/>
    <mergeCell ref="AJ7:AK7"/>
    <mergeCell ref="B6:B8"/>
    <mergeCell ref="C6:C8"/>
    <mergeCell ref="AN20:AN22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AH21:AI21"/>
    <mergeCell ref="AJ21:AK21"/>
    <mergeCell ref="AL21:AM21"/>
    <mergeCell ref="B27:C27"/>
    <mergeCell ref="B34:B36"/>
    <mergeCell ref="C34:C36"/>
    <mergeCell ref="D34:I34"/>
    <mergeCell ref="J34:O34"/>
    <mergeCell ref="P34:U34"/>
    <mergeCell ref="V34:AA34"/>
    <mergeCell ref="V21:W21"/>
    <mergeCell ref="X21:Y21"/>
    <mergeCell ref="Z21:AA21"/>
    <mergeCell ref="AB21:AC21"/>
    <mergeCell ref="AD21:AE21"/>
    <mergeCell ref="AF21:AG21"/>
    <mergeCell ref="AB34:AG34"/>
    <mergeCell ref="AH34:AM34"/>
    <mergeCell ref="AN34:AN36"/>
    <mergeCell ref="D35:E35"/>
    <mergeCell ref="F35:G35"/>
    <mergeCell ref="H35:I35"/>
    <mergeCell ref="J35:K35"/>
    <mergeCell ref="L35:M35"/>
    <mergeCell ref="N35:O35"/>
    <mergeCell ref="P35:Q35"/>
    <mergeCell ref="AD35:AE35"/>
    <mergeCell ref="AF35:AG35"/>
    <mergeCell ref="AH35:AI35"/>
    <mergeCell ref="AJ35:AK35"/>
    <mergeCell ref="AL35:AM35"/>
    <mergeCell ref="B41:C41"/>
    <mergeCell ref="R35:S35"/>
    <mergeCell ref="T35:U35"/>
    <mergeCell ref="V35:W35"/>
    <mergeCell ref="X35:Y35"/>
    <mergeCell ref="Z35:AA35"/>
    <mergeCell ref="AB35:AC35"/>
    <mergeCell ref="AB48:AG48"/>
    <mergeCell ref="AH48:AM48"/>
    <mergeCell ref="AN48:AN50"/>
    <mergeCell ref="D49:E49"/>
    <mergeCell ref="F49:G49"/>
    <mergeCell ref="H49:I49"/>
    <mergeCell ref="J49:K49"/>
    <mergeCell ref="L49:M49"/>
    <mergeCell ref="N49:O49"/>
    <mergeCell ref="P49:Q49"/>
    <mergeCell ref="D48:I48"/>
    <mergeCell ref="J48:O48"/>
    <mergeCell ref="P48:U48"/>
    <mergeCell ref="V48:AA48"/>
    <mergeCell ref="R49:S49"/>
    <mergeCell ref="T49:U49"/>
    <mergeCell ref="V49:W49"/>
    <mergeCell ref="X49:Y49"/>
    <mergeCell ref="L63:M63"/>
    <mergeCell ref="N63:O63"/>
    <mergeCell ref="P63:Q63"/>
    <mergeCell ref="R63:S63"/>
    <mergeCell ref="T63:U63"/>
    <mergeCell ref="AL49:AM49"/>
    <mergeCell ref="B55:C55"/>
    <mergeCell ref="B62:B64"/>
    <mergeCell ref="C62:C64"/>
    <mergeCell ref="D62:I62"/>
    <mergeCell ref="J62:O62"/>
    <mergeCell ref="P62:U62"/>
    <mergeCell ref="V62:AA62"/>
    <mergeCell ref="AB62:AG62"/>
    <mergeCell ref="AH62:AM62"/>
    <mergeCell ref="Z49:AA49"/>
    <mergeCell ref="AB49:AC49"/>
    <mergeCell ref="AD49:AE49"/>
    <mergeCell ref="AF49:AG49"/>
    <mergeCell ref="AH49:AI49"/>
    <mergeCell ref="AJ49:AK49"/>
    <mergeCell ref="B48:B50"/>
    <mergeCell ref="C48:C50"/>
    <mergeCell ref="B56:AN56"/>
    <mergeCell ref="B57:AN57"/>
    <mergeCell ref="B70:AN70"/>
    <mergeCell ref="AH63:AI63"/>
    <mergeCell ref="AJ63:AK63"/>
    <mergeCell ref="AL63:AM63"/>
    <mergeCell ref="B69:C69"/>
    <mergeCell ref="B14:AN14"/>
    <mergeCell ref="B15:AN15"/>
    <mergeCell ref="B28:AN28"/>
    <mergeCell ref="B29:AN29"/>
    <mergeCell ref="B42:AN42"/>
    <mergeCell ref="B43:AN43"/>
    <mergeCell ref="V63:W63"/>
    <mergeCell ref="X63:Y63"/>
    <mergeCell ref="Z63:AA63"/>
    <mergeCell ref="AB63:AC63"/>
    <mergeCell ref="AD63:AE63"/>
    <mergeCell ref="AF63:AG63"/>
    <mergeCell ref="AN62:AN64"/>
    <mergeCell ref="D63:E63"/>
    <mergeCell ref="F63:G63"/>
    <mergeCell ref="H63:I63"/>
    <mergeCell ref="J63:K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842B4-5861-4AB8-9FF5-1094CF6EEC52}">
  <dimension ref="B2:AN42"/>
  <sheetViews>
    <sheetView topLeftCell="A21" workbookViewId="0">
      <selection activeCell="Q46" sqref="Q46"/>
    </sheetView>
  </sheetViews>
  <sheetFormatPr defaultRowHeight="14.5"/>
  <sheetData>
    <row r="2" spans="2:40">
      <c r="B2" s="1" t="s">
        <v>41</v>
      </c>
      <c r="C2" s="1" t="s">
        <v>42</v>
      </c>
      <c r="D2" s="2" t="s">
        <v>43</v>
      </c>
    </row>
    <row r="3" spans="2:40">
      <c r="B3" s="1" t="s">
        <v>44</v>
      </c>
      <c r="C3" s="1" t="s">
        <v>42</v>
      </c>
      <c r="D3" s="2" t="s">
        <v>103</v>
      </c>
    </row>
    <row r="4" spans="2:40">
      <c r="B4" s="1" t="s">
        <v>1</v>
      </c>
      <c r="C4" s="1" t="s">
        <v>42</v>
      </c>
      <c r="D4" s="2" t="s">
        <v>104</v>
      </c>
    </row>
    <row r="5" spans="2:40">
      <c r="B5" s="1" t="s">
        <v>47</v>
      </c>
      <c r="C5" s="1" t="s">
        <v>42</v>
      </c>
      <c r="D5" s="3">
        <v>46184</v>
      </c>
    </row>
    <row r="6" spans="2:40">
      <c r="B6" s="89" t="s">
        <v>48</v>
      </c>
      <c r="C6" s="89" t="s">
        <v>49</v>
      </c>
      <c r="D6" s="83" t="s">
        <v>50</v>
      </c>
      <c r="E6" s="88"/>
      <c r="F6" s="88"/>
      <c r="G6" s="88"/>
      <c r="H6" s="88"/>
      <c r="I6" s="84"/>
      <c r="J6" s="83" t="s">
        <v>51</v>
      </c>
      <c r="K6" s="88"/>
      <c r="L6" s="88"/>
      <c r="M6" s="88"/>
      <c r="N6" s="88"/>
      <c r="O6" s="84"/>
      <c r="P6" s="83" t="s">
        <v>52</v>
      </c>
      <c r="Q6" s="88"/>
      <c r="R6" s="88"/>
      <c r="S6" s="88"/>
      <c r="T6" s="88"/>
      <c r="U6" s="84"/>
      <c r="V6" s="83" t="s">
        <v>53</v>
      </c>
      <c r="W6" s="88"/>
      <c r="X6" s="88"/>
      <c r="Y6" s="88"/>
      <c r="Z6" s="88"/>
      <c r="AA6" s="84"/>
      <c r="AB6" s="83" t="s">
        <v>54</v>
      </c>
      <c r="AC6" s="88"/>
      <c r="AD6" s="88"/>
      <c r="AE6" s="88"/>
      <c r="AF6" s="88"/>
      <c r="AG6" s="84"/>
      <c r="AH6" s="83" t="s">
        <v>55</v>
      </c>
      <c r="AI6" s="88"/>
      <c r="AJ6" s="88"/>
      <c r="AK6" s="88"/>
      <c r="AL6" s="88"/>
      <c r="AM6" s="84"/>
      <c r="AN6" s="89" t="s">
        <v>56</v>
      </c>
    </row>
    <row r="7" spans="2:40">
      <c r="B7" s="90"/>
      <c r="C7" s="90"/>
      <c r="D7" s="83" t="s">
        <v>57</v>
      </c>
      <c r="E7" s="84"/>
      <c r="F7" s="83" t="s">
        <v>58</v>
      </c>
      <c r="G7" s="84"/>
      <c r="H7" s="83" t="s">
        <v>56</v>
      </c>
      <c r="I7" s="84"/>
      <c r="J7" s="83" t="s">
        <v>57</v>
      </c>
      <c r="K7" s="84"/>
      <c r="L7" s="83" t="s">
        <v>58</v>
      </c>
      <c r="M7" s="84"/>
      <c r="N7" s="83" t="s">
        <v>56</v>
      </c>
      <c r="O7" s="84"/>
      <c r="P7" s="83" t="s">
        <v>57</v>
      </c>
      <c r="Q7" s="84"/>
      <c r="R7" s="83" t="s">
        <v>58</v>
      </c>
      <c r="S7" s="84"/>
      <c r="T7" s="83" t="s">
        <v>56</v>
      </c>
      <c r="U7" s="84"/>
      <c r="V7" s="83" t="s">
        <v>57</v>
      </c>
      <c r="W7" s="84"/>
      <c r="X7" s="83" t="s">
        <v>58</v>
      </c>
      <c r="Y7" s="84"/>
      <c r="Z7" s="83" t="s">
        <v>56</v>
      </c>
      <c r="AA7" s="84"/>
      <c r="AB7" s="83" t="s">
        <v>57</v>
      </c>
      <c r="AC7" s="84"/>
      <c r="AD7" s="83" t="s">
        <v>58</v>
      </c>
      <c r="AE7" s="84"/>
      <c r="AF7" s="83" t="s">
        <v>56</v>
      </c>
      <c r="AG7" s="84"/>
      <c r="AH7" s="83" t="s">
        <v>57</v>
      </c>
      <c r="AI7" s="84"/>
      <c r="AJ7" s="83" t="s">
        <v>58</v>
      </c>
      <c r="AK7" s="84"/>
      <c r="AL7" s="83" t="s">
        <v>56</v>
      </c>
      <c r="AM7" s="84"/>
      <c r="AN7" s="90"/>
    </row>
    <row r="8" spans="2:40">
      <c r="B8" s="91"/>
      <c r="C8" s="91"/>
      <c r="D8" s="4" t="s">
        <v>59</v>
      </c>
      <c r="E8" s="4" t="s">
        <v>60</v>
      </c>
      <c r="F8" s="4" t="s">
        <v>59</v>
      </c>
      <c r="G8" s="4" t="s">
        <v>60</v>
      </c>
      <c r="H8" s="4" t="s">
        <v>59</v>
      </c>
      <c r="I8" s="4" t="s">
        <v>60</v>
      </c>
      <c r="J8" s="4" t="s">
        <v>59</v>
      </c>
      <c r="K8" s="4" t="s">
        <v>60</v>
      </c>
      <c r="L8" s="4" t="s">
        <v>59</v>
      </c>
      <c r="M8" s="4" t="s">
        <v>60</v>
      </c>
      <c r="N8" s="4" t="s">
        <v>59</v>
      </c>
      <c r="O8" s="4" t="s">
        <v>60</v>
      </c>
      <c r="P8" s="4" t="s">
        <v>59</v>
      </c>
      <c r="Q8" s="4" t="s">
        <v>60</v>
      </c>
      <c r="R8" s="4" t="s">
        <v>59</v>
      </c>
      <c r="S8" s="4" t="s">
        <v>60</v>
      </c>
      <c r="T8" s="4" t="s">
        <v>59</v>
      </c>
      <c r="U8" s="4" t="s">
        <v>60</v>
      </c>
      <c r="V8" s="4" t="s">
        <v>59</v>
      </c>
      <c r="W8" s="4" t="s">
        <v>60</v>
      </c>
      <c r="X8" s="4" t="s">
        <v>59</v>
      </c>
      <c r="Y8" s="4" t="s">
        <v>60</v>
      </c>
      <c r="Z8" s="4" t="s">
        <v>59</v>
      </c>
      <c r="AA8" s="4" t="s">
        <v>60</v>
      </c>
      <c r="AB8" s="4" t="s">
        <v>59</v>
      </c>
      <c r="AC8" s="4" t="s">
        <v>60</v>
      </c>
      <c r="AD8" s="4" t="s">
        <v>59</v>
      </c>
      <c r="AE8" s="4" t="s">
        <v>60</v>
      </c>
      <c r="AF8" s="4" t="s">
        <v>59</v>
      </c>
      <c r="AG8" s="4" t="s">
        <v>60</v>
      </c>
      <c r="AH8" s="4" t="s">
        <v>59</v>
      </c>
      <c r="AI8" s="4" t="s">
        <v>60</v>
      </c>
      <c r="AJ8" s="4" t="s">
        <v>59</v>
      </c>
      <c r="AK8" s="4" t="s">
        <v>60</v>
      </c>
      <c r="AL8" s="4" t="s">
        <v>59</v>
      </c>
      <c r="AM8" s="4" t="s">
        <v>60</v>
      </c>
      <c r="AN8" s="91"/>
    </row>
    <row r="9" spans="2:40">
      <c r="B9" s="5">
        <v>1</v>
      </c>
      <c r="C9" s="6" t="s">
        <v>61</v>
      </c>
      <c r="D9" s="5">
        <v>487</v>
      </c>
      <c r="E9" s="5">
        <v>53.05</v>
      </c>
      <c r="F9" s="5">
        <v>431</v>
      </c>
      <c r="G9" s="5">
        <v>46.95</v>
      </c>
      <c r="H9" s="5">
        <v>918</v>
      </c>
      <c r="I9" s="5">
        <v>3.69</v>
      </c>
      <c r="J9" s="7">
        <v>1192</v>
      </c>
      <c r="K9" s="5">
        <v>55.86</v>
      </c>
      <c r="L9" s="5">
        <v>942</v>
      </c>
      <c r="M9" s="5">
        <v>44.14</v>
      </c>
      <c r="N9" s="7">
        <v>2134</v>
      </c>
      <c r="O9" s="5">
        <v>8.59</v>
      </c>
      <c r="P9" s="7">
        <v>5610</v>
      </c>
      <c r="Q9" s="5">
        <v>53.63</v>
      </c>
      <c r="R9" s="7">
        <v>4850</v>
      </c>
      <c r="S9" s="5">
        <v>46.37</v>
      </c>
      <c r="T9" s="7">
        <v>10460</v>
      </c>
      <c r="U9" s="5">
        <v>42.09</v>
      </c>
      <c r="V9" s="7">
        <v>3891</v>
      </c>
      <c r="W9" s="5">
        <v>51.62</v>
      </c>
      <c r="X9" s="7">
        <v>3647</v>
      </c>
      <c r="Y9" s="5">
        <v>48.38</v>
      </c>
      <c r="Z9" s="7">
        <v>7538</v>
      </c>
      <c r="AA9" s="5">
        <v>30.33</v>
      </c>
      <c r="AB9" s="7">
        <v>1614</v>
      </c>
      <c r="AC9" s="5">
        <v>42.46</v>
      </c>
      <c r="AD9" s="7">
        <v>2187</v>
      </c>
      <c r="AE9" s="5">
        <v>57.54</v>
      </c>
      <c r="AF9" s="7">
        <v>3801</v>
      </c>
      <c r="AG9" s="5">
        <v>15.3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7">
        <v>24851</v>
      </c>
    </row>
    <row r="10" spans="2:40">
      <c r="B10" s="5">
        <v>2</v>
      </c>
      <c r="C10" s="6" t="s">
        <v>62</v>
      </c>
      <c r="D10" s="5">
        <v>57</v>
      </c>
      <c r="E10" s="5">
        <v>48.72</v>
      </c>
      <c r="F10" s="5">
        <v>60</v>
      </c>
      <c r="G10" s="5">
        <v>51.28</v>
      </c>
      <c r="H10" s="5">
        <v>117</v>
      </c>
      <c r="I10" s="5">
        <v>3.85</v>
      </c>
      <c r="J10" s="5">
        <v>171</v>
      </c>
      <c r="K10" s="5">
        <v>59.58</v>
      </c>
      <c r="L10" s="5">
        <v>116</v>
      </c>
      <c r="M10" s="5">
        <v>40.42</v>
      </c>
      <c r="N10" s="5">
        <v>287</v>
      </c>
      <c r="O10" s="5">
        <v>9.4499999999999993</v>
      </c>
      <c r="P10" s="5">
        <v>550</v>
      </c>
      <c r="Q10" s="5">
        <v>56.41</v>
      </c>
      <c r="R10" s="5">
        <v>425</v>
      </c>
      <c r="S10" s="5">
        <v>43.59</v>
      </c>
      <c r="T10" s="5">
        <v>975</v>
      </c>
      <c r="U10" s="5">
        <v>32.090000000000003</v>
      </c>
      <c r="V10" s="5">
        <v>521</v>
      </c>
      <c r="W10" s="5">
        <v>54.16</v>
      </c>
      <c r="X10" s="5">
        <v>441</v>
      </c>
      <c r="Y10" s="5">
        <v>45.84</v>
      </c>
      <c r="Z10" s="5">
        <v>962</v>
      </c>
      <c r="AA10" s="5">
        <v>31.67</v>
      </c>
      <c r="AB10" s="5">
        <v>329</v>
      </c>
      <c r="AC10" s="5">
        <v>47.2</v>
      </c>
      <c r="AD10" s="5">
        <v>368</v>
      </c>
      <c r="AE10" s="5">
        <v>52.8</v>
      </c>
      <c r="AF10" s="5">
        <v>697</v>
      </c>
      <c r="AG10" s="5">
        <v>22.94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7">
        <v>3038</v>
      </c>
    </row>
    <row r="11" spans="2:40">
      <c r="B11" s="5">
        <v>3</v>
      </c>
      <c r="C11" s="6" t="s">
        <v>63</v>
      </c>
      <c r="D11" s="5">
        <v>26</v>
      </c>
      <c r="E11" s="5">
        <v>41.94</v>
      </c>
      <c r="F11" s="5">
        <v>36</v>
      </c>
      <c r="G11" s="5">
        <v>58.06</v>
      </c>
      <c r="H11" s="5">
        <v>62</v>
      </c>
      <c r="I11" s="5">
        <v>4.6100000000000003</v>
      </c>
      <c r="J11" s="5">
        <v>72</v>
      </c>
      <c r="K11" s="5">
        <v>55.81</v>
      </c>
      <c r="L11" s="5">
        <v>57</v>
      </c>
      <c r="M11" s="5">
        <v>44.19</v>
      </c>
      <c r="N11" s="5">
        <v>129</v>
      </c>
      <c r="O11" s="5">
        <v>9.58</v>
      </c>
      <c r="P11" s="5">
        <v>232</v>
      </c>
      <c r="Q11" s="5">
        <v>54.85</v>
      </c>
      <c r="R11" s="5">
        <v>191</v>
      </c>
      <c r="S11" s="5">
        <v>45.15</v>
      </c>
      <c r="T11" s="5">
        <v>423</v>
      </c>
      <c r="U11" s="5">
        <v>31.43</v>
      </c>
      <c r="V11" s="5">
        <v>211</v>
      </c>
      <c r="W11" s="5">
        <v>50.36</v>
      </c>
      <c r="X11" s="5">
        <v>208</v>
      </c>
      <c r="Y11" s="5">
        <v>49.64</v>
      </c>
      <c r="Z11" s="5">
        <v>419</v>
      </c>
      <c r="AA11" s="5">
        <v>31.13</v>
      </c>
      <c r="AB11" s="5">
        <v>138</v>
      </c>
      <c r="AC11" s="5">
        <v>44.09</v>
      </c>
      <c r="AD11" s="5">
        <v>175</v>
      </c>
      <c r="AE11" s="5">
        <v>55.91</v>
      </c>
      <c r="AF11" s="5">
        <v>313</v>
      </c>
      <c r="AG11" s="5">
        <v>23.25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7">
        <v>1346</v>
      </c>
    </row>
    <row r="12" spans="2:40">
      <c r="B12" s="5">
        <v>4</v>
      </c>
      <c r="C12" s="6" t="s">
        <v>64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</row>
    <row r="13" spans="2:40">
      <c r="B13" s="85" t="s">
        <v>56</v>
      </c>
      <c r="C13" s="86"/>
      <c r="D13" s="8">
        <v>570</v>
      </c>
      <c r="E13" s="8">
        <v>51.96</v>
      </c>
      <c r="F13" s="8">
        <v>527</v>
      </c>
      <c r="G13" s="8">
        <v>48.04</v>
      </c>
      <c r="H13" s="9">
        <v>1097</v>
      </c>
      <c r="I13" s="8">
        <v>3.75</v>
      </c>
      <c r="J13" s="9">
        <v>1435</v>
      </c>
      <c r="K13" s="8">
        <v>56.27</v>
      </c>
      <c r="L13" s="9">
        <v>1115</v>
      </c>
      <c r="M13" s="8">
        <v>43.73</v>
      </c>
      <c r="N13" s="9">
        <v>2550</v>
      </c>
      <c r="O13" s="8">
        <v>8.7200000000000006</v>
      </c>
      <c r="P13" s="9">
        <v>6392</v>
      </c>
      <c r="Q13" s="8">
        <v>53.9</v>
      </c>
      <c r="R13" s="9">
        <v>5466</v>
      </c>
      <c r="S13" s="8">
        <v>46.1</v>
      </c>
      <c r="T13" s="9">
        <v>11858</v>
      </c>
      <c r="U13" s="8">
        <v>40.56</v>
      </c>
      <c r="V13" s="9">
        <v>4623</v>
      </c>
      <c r="W13" s="8">
        <v>51.83</v>
      </c>
      <c r="X13" s="9">
        <v>4296</v>
      </c>
      <c r="Y13" s="8">
        <v>48.17</v>
      </c>
      <c r="Z13" s="9">
        <v>8919</v>
      </c>
      <c r="AA13" s="8">
        <v>30.51</v>
      </c>
      <c r="AB13" s="9">
        <v>2081</v>
      </c>
      <c r="AC13" s="8">
        <v>43.26</v>
      </c>
      <c r="AD13" s="9">
        <v>2730</v>
      </c>
      <c r="AE13" s="8">
        <v>56.74</v>
      </c>
      <c r="AF13" s="9">
        <v>4811</v>
      </c>
      <c r="AG13" s="8">
        <v>16.46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9">
        <v>29235</v>
      </c>
    </row>
    <row r="14" spans="2:40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</row>
    <row r="15" spans="2:40"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</row>
    <row r="16" spans="2:40">
      <c r="B16" s="1" t="s">
        <v>41</v>
      </c>
      <c r="C16" s="1" t="s">
        <v>42</v>
      </c>
      <c r="D16" s="2" t="s">
        <v>43</v>
      </c>
    </row>
    <row r="17" spans="2:40">
      <c r="B17" s="1" t="s">
        <v>44</v>
      </c>
      <c r="C17" s="1" t="s">
        <v>42</v>
      </c>
      <c r="D17" s="2" t="s">
        <v>103</v>
      </c>
    </row>
    <row r="18" spans="2:40">
      <c r="B18" s="1" t="s">
        <v>1</v>
      </c>
      <c r="C18" s="1" t="s">
        <v>42</v>
      </c>
      <c r="D18" s="2" t="s">
        <v>105</v>
      </c>
    </row>
    <row r="19" spans="2:40">
      <c r="B19" s="1" t="s">
        <v>47</v>
      </c>
      <c r="C19" s="1" t="s">
        <v>42</v>
      </c>
      <c r="D19" s="3">
        <v>46184</v>
      </c>
    </row>
    <row r="20" spans="2:40">
      <c r="B20" s="89" t="s">
        <v>48</v>
      </c>
      <c r="C20" s="89" t="s">
        <v>49</v>
      </c>
      <c r="D20" s="83" t="s">
        <v>50</v>
      </c>
      <c r="E20" s="88"/>
      <c r="F20" s="88"/>
      <c r="G20" s="88"/>
      <c r="H20" s="88"/>
      <c r="I20" s="84"/>
      <c r="J20" s="83" t="s">
        <v>51</v>
      </c>
      <c r="K20" s="88"/>
      <c r="L20" s="88"/>
      <c r="M20" s="88"/>
      <c r="N20" s="88"/>
      <c r="O20" s="84"/>
      <c r="P20" s="83" t="s">
        <v>52</v>
      </c>
      <c r="Q20" s="88"/>
      <c r="R20" s="88"/>
      <c r="S20" s="88"/>
      <c r="T20" s="88"/>
      <c r="U20" s="84"/>
      <c r="V20" s="83" t="s">
        <v>53</v>
      </c>
      <c r="W20" s="88"/>
      <c r="X20" s="88"/>
      <c r="Y20" s="88"/>
      <c r="Z20" s="88"/>
      <c r="AA20" s="84"/>
      <c r="AB20" s="83" t="s">
        <v>54</v>
      </c>
      <c r="AC20" s="88"/>
      <c r="AD20" s="88"/>
      <c r="AE20" s="88"/>
      <c r="AF20" s="88"/>
      <c r="AG20" s="84"/>
      <c r="AH20" s="83" t="s">
        <v>55</v>
      </c>
      <c r="AI20" s="88"/>
      <c r="AJ20" s="88"/>
      <c r="AK20" s="88"/>
      <c r="AL20" s="88"/>
      <c r="AM20" s="84"/>
      <c r="AN20" s="89" t="s">
        <v>56</v>
      </c>
    </row>
    <row r="21" spans="2:40">
      <c r="B21" s="90"/>
      <c r="C21" s="90"/>
      <c r="D21" s="83" t="s">
        <v>57</v>
      </c>
      <c r="E21" s="84"/>
      <c r="F21" s="83" t="s">
        <v>58</v>
      </c>
      <c r="G21" s="84"/>
      <c r="H21" s="83" t="s">
        <v>56</v>
      </c>
      <c r="I21" s="84"/>
      <c r="J21" s="83" t="s">
        <v>57</v>
      </c>
      <c r="K21" s="84"/>
      <c r="L21" s="83" t="s">
        <v>58</v>
      </c>
      <c r="M21" s="84"/>
      <c r="N21" s="83" t="s">
        <v>56</v>
      </c>
      <c r="O21" s="84"/>
      <c r="P21" s="83" t="s">
        <v>57</v>
      </c>
      <c r="Q21" s="84"/>
      <c r="R21" s="83" t="s">
        <v>58</v>
      </c>
      <c r="S21" s="84"/>
      <c r="T21" s="83" t="s">
        <v>56</v>
      </c>
      <c r="U21" s="84"/>
      <c r="V21" s="83" t="s">
        <v>57</v>
      </c>
      <c r="W21" s="84"/>
      <c r="X21" s="83" t="s">
        <v>58</v>
      </c>
      <c r="Y21" s="84"/>
      <c r="Z21" s="83" t="s">
        <v>56</v>
      </c>
      <c r="AA21" s="84"/>
      <c r="AB21" s="83" t="s">
        <v>57</v>
      </c>
      <c r="AC21" s="84"/>
      <c r="AD21" s="83" t="s">
        <v>58</v>
      </c>
      <c r="AE21" s="84"/>
      <c r="AF21" s="83" t="s">
        <v>56</v>
      </c>
      <c r="AG21" s="84"/>
      <c r="AH21" s="83" t="s">
        <v>57</v>
      </c>
      <c r="AI21" s="84"/>
      <c r="AJ21" s="83" t="s">
        <v>58</v>
      </c>
      <c r="AK21" s="84"/>
      <c r="AL21" s="83" t="s">
        <v>56</v>
      </c>
      <c r="AM21" s="84"/>
      <c r="AN21" s="90"/>
    </row>
    <row r="22" spans="2:40">
      <c r="B22" s="91"/>
      <c r="C22" s="91"/>
      <c r="D22" s="4" t="s">
        <v>59</v>
      </c>
      <c r="E22" s="4" t="s">
        <v>60</v>
      </c>
      <c r="F22" s="4" t="s">
        <v>59</v>
      </c>
      <c r="G22" s="4" t="s">
        <v>60</v>
      </c>
      <c r="H22" s="4" t="s">
        <v>59</v>
      </c>
      <c r="I22" s="4" t="s">
        <v>60</v>
      </c>
      <c r="J22" s="4" t="s">
        <v>59</v>
      </c>
      <c r="K22" s="4" t="s">
        <v>60</v>
      </c>
      <c r="L22" s="4" t="s">
        <v>59</v>
      </c>
      <c r="M22" s="4" t="s">
        <v>60</v>
      </c>
      <c r="N22" s="4" t="s">
        <v>59</v>
      </c>
      <c r="O22" s="4" t="s">
        <v>60</v>
      </c>
      <c r="P22" s="4" t="s">
        <v>59</v>
      </c>
      <c r="Q22" s="4" t="s">
        <v>60</v>
      </c>
      <c r="R22" s="4" t="s">
        <v>59</v>
      </c>
      <c r="S22" s="4" t="s">
        <v>60</v>
      </c>
      <c r="T22" s="4" t="s">
        <v>59</v>
      </c>
      <c r="U22" s="4" t="s">
        <v>60</v>
      </c>
      <c r="V22" s="4" t="s">
        <v>59</v>
      </c>
      <c r="W22" s="4" t="s">
        <v>60</v>
      </c>
      <c r="X22" s="4" t="s">
        <v>59</v>
      </c>
      <c r="Y22" s="4" t="s">
        <v>60</v>
      </c>
      <c r="Z22" s="4" t="s">
        <v>59</v>
      </c>
      <c r="AA22" s="4" t="s">
        <v>60</v>
      </c>
      <c r="AB22" s="4" t="s">
        <v>59</v>
      </c>
      <c r="AC22" s="4" t="s">
        <v>60</v>
      </c>
      <c r="AD22" s="4" t="s">
        <v>59</v>
      </c>
      <c r="AE22" s="4" t="s">
        <v>60</v>
      </c>
      <c r="AF22" s="4" t="s">
        <v>59</v>
      </c>
      <c r="AG22" s="4" t="s">
        <v>60</v>
      </c>
      <c r="AH22" s="4" t="s">
        <v>59</v>
      </c>
      <c r="AI22" s="4" t="s">
        <v>60</v>
      </c>
      <c r="AJ22" s="4" t="s">
        <v>59</v>
      </c>
      <c r="AK22" s="4" t="s">
        <v>60</v>
      </c>
      <c r="AL22" s="4" t="s">
        <v>59</v>
      </c>
      <c r="AM22" s="4" t="s">
        <v>60</v>
      </c>
      <c r="AN22" s="91"/>
    </row>
    <row r="23" spans="2:40">
      <c r="B23" s="5">
        <v>1</v>
      </c>
      <c r="C23" s="6" t="s">
        <v>61</v>
      </c>
      <c r="D23" s="5">
        <v>424</v>
      </c>
      <c r="E23" s="5">
        <v>54.99</v>
      </c>
      <c r="F23" s="5">
        <v>347</v>
      </c>
      <c r="G23" s="5">
        <v>45.01</v>
      </c>
      <c r="H23" s="5">
        <v>771</v>
      </c>
      <c r="I23" s="5">
        <v>4.8899999999999997</v>
      </c>
      <c r="J23" s="5">
        <v>786</v>
      </c>
      <c r="K23" s="5">
        <v>52.51</v>
      </c>
      <c r="L23" s="5">
        <v>711</v>
      </c>
      <c r="M23" s="5">
        <v>47.49</v>
      </c>
      <c r="N23" s="7">
        <v>1497</v>
      </c>
      <c r="O23" s="5">
        <v>9.49</v>
      </c>
      <c r="P23" s="7">
        <v>2531</v>
      </c>
      <c r="Q23" s="5">
        <v>50.59</v>
      </c>
      <c r="R23" s="7">
        <v>2472</v>
      </c>
      <c r="S23" s="5">
        <v>49.41</v>
      </c>
      <c r="T23" s="7">
        <v>5003</v>
      </c>
      <c r="U23" s="5">
        <v>31.73</v>
      </c>
      <c r="V23" s="7">
        <v>2901</v>
      </c>
      <c r="W23" s="5">
        <v>51.5</v>
      </c>
      <c r="X23" s="7">
        <v>2732</v>
      </c>
      <c r="Y23" s="5">
        <v>48.5</v>
      </c>
      <c r="Z23" s="7">
        <v>5633</v>
      </c>
      <c r="AA23" s="5">
        <v>35.72</v>
      </c>
      <c r="AB23" s="7">
        <v>1228</v>
      </c>
      <c r="AC23" s="5">
        <v>42.88</v>
      </c>
      <c r="AD23" s="7">
        <v>1636</v>
      </c>
      <c r="AE23" s="5">
        <v>57.12</v>
      </c>
      <c r="AF23" s="7">
        <v>2864</v>
      </c>
      <c r="AG23" s="5">
        <v>18.16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7">
        <v>15768</v>
      </c>
    </row>
    <row r="24" spans="2:40">
      <c r="B24" s="5">
        <v>2</v>
      </c>
      <c r="C24" s="6" t="s">
        <v>62</v>
      </c>
      <c r="D24" s="5">
        <v>118</v>
      </c>
      <c r="E24" s="5">
        <v>61.14</v>
      </c>
      <c r="F24" s="5">
        <v>75</v>
      </c>
      <c r="G24" s="5">
        <v>38.86</v>
      </c>
      <c r="H24" s="5">
        <v>193</v>
      </c>
      <c r="I24" s="5">
        <v>3.5</v>
      </c>
      <c r="J24" s="5">
        <v>189</v>
      </c>
      <c r="K24" s="5">
        <v>54</v>
      </c>
      <c r="L24" s="5">
        <v>161</v>
      </c>
      <c r="M24" s="5">
        <v>46</v>
      </c>
      <c r="N24" s="5">
        <v>350</v>
      </c>
      <c r="O24" s="5">
        <v>6.35</v>
      </c>
      <c r="P24" s="5">
        <v>800</v>
      </c>
      <c r="Q24" s="5">
        <v>50.86</v>
      </c>
      <c r="R24" s="5">
        <v>773</v>
      </c>
      <c r="S24" s="5">
        <v>49.14</v>
      </c>
      <c r="T24" s="7">
        <v>1573</v>
      </c>
      <c r="U24" s="5">
        <v>28.55</v>
      </c>
      <c r="V24" s="5">
        <v>953</v>
      </c>
      <c r="W24" s="5">
        <v>55.25</v>
      </c>
      <c r="X24" s="5">
        <v>772</v>
      </c>
      <c r="Y24" s="5">
        <v>44.75</v>
      </c>
      <c r="Z24" s="7">
        <v>1725</v>
      </c>
      <c r="AA24" s="5">
        <v>31.31</v>
      </c>
      <c r="AB24" s="5">
        <v>791</v>
      </c>
      <c r="AC24" s="5">
        <v>47.39</v>
      </c>
      <c r="AD24" s="5">
        <v>878</v>
      </c>
      <c r="AE24" s="5">
        <v>52.61</v>
      </c>
      <c r="AF24" s="7">
        <v>1669</v>
      </c>
      <c r="AG24" s="5">
        <v>30.29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7">
        <v>5510</v>
      </c>
    </row>
    <row r="25" spans="2:40">
      <c r="B25" s="5">
        <v>3</v>
      </c>
      <c r="C25" s="6" t="s">
        <v>63</v>
      </c>
      <c r="D25" s="5">
        <v>73</v>
      </c>
      <c r="E25" s="5">
        <v>49.66</v>
      </c>
      <c r="F25" s="5">
        <v>74</v>
      </c>
      <c r="G25" s="5">
        <v>50.34</v>
      </c>
      <c r="H25" s="5">
        <v>147</v>
      </c>
      <c r="I25" s="5">
        <v>4.08</v>
      </c>
      <c r="J25" s="5">
        <v>158</v>
      </c>
      <c r="K25" s="5">
        <v>47.59</v>
      </c>
      <c r="L25" s="5">
        <v>174</v>
      </c>
      <c r="M25" s="5">
        <v>52.41</v>
      </c>
      <c r="N25" s="5">
        <v>332</v>
      </c>
      <c r="O25" s="5">
        <v>9.2200000000000006</v>
      </c>
      <c r="P25" s="5">
        <v>600</v>
      </c>
      <c r="Q25" s="5">
        <v>50.08</v>
      </c>
      <c r="R25" s="5">
        <v>598</v>
      </c>
      <c r="S25" s="5">
        <v>49.92</v>
      </c>
      <c r="T25" s="7">
        <v>1198</v>
      </c>
      <c r="U25" s="5">
        <v>33.28</v>
      </c>
      <c r="V25" s="5">
        <v>613</v>
      </c>
      <c r="W25" s="5">
        <v>51.08</v>
      </c>
      <c r="X25" s="5">
        <v>587</v>
      </c>
      <c r="Y25" s="5">
        <v>48.92</v>
      </c>
      <c r="Z25" s="7">
        <v>1200</v>
      </c>
      <c r="AA25" s="5">
        <v>33.33</v>
      </c>
      <c r="AB25" s="5">
        <v>299</v>
      </c>
      <c r="AC25" s="5">
        <v>41.36</v>
      </c>
      <c r="AD25" s="5">
        <v>424</v>
      </c>
      <c r="AE25" s="5">
        <v>58.64</v>
      </c>
      <c r="AF25" s="5">
        <v>723</v>
      </c>
      <c r="AG25" s="5">
        <v>20.079999999999998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7">
        <v>3600</v>
      </c>
    </row>
    <row r="26" spans="2:40">
      <c r="B26" s="5">
        <v>4</v>
      </c>
      <c r="C26" s="6" t="s">
        <v>64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</row>
    <row r="27" spans="2:40">
      <c r="B27" s="85" t="s">
        <v>56</v>
      </c>
      <c r="C27" s="86"/>
      <c r="D27" s="8">
        <v>615</v>
      </c>
      <c r="E27" s="8">
        <v>55.36</v>
      </c>
      <c r="F27" s="8">
        <v>496</v>
      </c>
      <c r="G27" s="8">
        <v>44.64</v>
      </c>
      <c r="H27" s="9">
        <v>1111</v>
      </c>
      <c r="I27" s="8">
        <v>4.47</v>
      </c>
      <c r="J27" s="9">
        <v>1133</v>
      </c>
      <c r="K27" s="8">
        <v>52</v>
      </c>
      <c r="L27" s="9">
        <v>1046</v>
      </c>
      <c r="M27" s="8">
        <v>48</v>
      </c>
      <c r="N27" s="9">
        <v>2179</v>
      </c>
      <c r="O27" s="8">
        <v>8.76</v>
      </c>
      <c r="P27" s="9">
        <v>3931</v>
      </c>
      <c r="Q27" s="8">
        <v>50.57</v>
      </c>
      <c r="R27" s="9">
        <v>3843</v>
      </c>
      <c r="S27" s="8">
        <v>49.43</v>
      </c>
      <c r="T27" s="9">
        <v>7774</v>
      </c>
      <c r="U27" s="8">
        <v>31.25</v>
      </c>
      <c r="V27" s="9">
        <v>4467</v>
      </c>
      <c r="W27" s="8">
        <v>52.2</v>
      </c>
      <c r="X27" s="9">
        <v>4091</v>
      </c>
      <c r="Y27" s="8">
        <v>47.8</v>
      </c>
      <c r="Z27" s="9">
        <v>8558</v>
      </c>
      <c r="AA27" s="8">
        <v>34.4</v>
      </c>
      <c r="AB27" s="9">
        <v>2318</v>
      </c>
      <c r="AC27" s="8">
        <v>44.1</v>
      </c>
      <c r="AD27" s="9">
        <v>2938</v>
      </c>
      <c r="AE27" s="8">
        <v>55.9</v>
      </c>
      <c r="AF27" s="9">
        <v>5256</v>
      </c>
      <c r="AG27" s="8">
        <v>21.13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9">
        <v>24878</v>
      </c>
    </row>
    <row r="28" spans="2:40"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</row>
    <row r="29" spans="2:40"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</row>
    <row r="30" spans="2:40">
      <c r="B30" s="1" t="s">
        <v>41</v>
      </c>
      <c r="C30" s="1" t="s">
        <v>42</v>
      </c>
      <c r="D30" s="2" t="s">
        <v>43</v>
      </c>
    </row>
    <row r="31" spans="2:40">
      <c r="B31" s="1" t="s">
        <v>44</v>
      </c>
      <c r="C31" s="1" t="s">
        <v>42</v>
      </c>
      <c r="D31" s="2" t="s">
        <v>103</v>
      </c>
    </row>
    <row r="32" spans="2:40">
      <c r="B32" s="1" t="s">
        <v>1</v>
      </c>
      <c r="C32" s="1" t="s">
        <v>42</v>
      </c>
      <c r="D32" s="2" t="s">
        <v>106</v>
      </c>
    </row>
    <row r="33" spans="2:40">
      <c r="B33" s="1" t="s">
        <v>47</v>
      </c>
      <c r="C33" s="1" t="s">
        <v>42</v>
      </c>
      <c r="D33" s="3">
        <v>46184</v>
      </c>
    </row>
    <row r="34" spans="2:40">
      <c r="B34" s="89" t="s">
        <v>48</v>
      </c>
      <c r="C34" s="89" t="s">
        <v>49</v>
      </c>
      <c r="D34" s="83" t="s">
        <v>50</v>
      </c>
      <c r="E34" s="88"/>
      <c r="F34" s="88"/>
      <c r="G34" s="88"/>
      <c r="H34" s="88"/>
      <c r="I34" s="84"/>
      <c r="J34" s="83" t="s">
        <v>51</v>
      </c>
      <c r="K34" s="88"/>
      <c r="L34" s="88"/>
      <c r="M34" s="88"/>
      <c r="N34" s="88"/>
      <c r="O34" s="84"/>
      <c r="P34" s="83" t="s">
        <v>52</v>
      </c>
      <c r="Q34" s="88"/>
      <c r="R34" s="88"/>
      <c r="S34" s="88"/>
      <c r="T34" s="88"/>
      <c r="U34" s="84"/>
      <c r="V34" s="83" t="s">
        <v>53</v>
      </c>
      <c r="W34" s="88"/>
      <c r="X34" s="88"/>
      <c r="Y34" s="88"/>
      <c r="Z34" s="88"/>
      <c r="AA34" s="84"/>
      <c r="AB34" s="83" t="s">
        <v>54</v>
      </c>
      <c r="AC34" s="88"/>
      <c r="AD34" s="88"/>
      <c r="AE34" s="88"/>
      <c r="AF34" s="88"/>
      <c r="AG34" s="84"/>
      <c r="AH34" s="83" t="s">
        <v>55</v>
      </c>
      <c r="AI34" s="88"/>
      <c r="AJ34" s="88"/>
      <c r="AK34" s="88"/>
      <c r="AL34" s="88"/>
      <c r="AM34" s="84"/>
      <c r="AN34" s="89" t="s">
        <v>56</v>
      </c>
    </row>
    <row r="35" spans="2:40">
      <c r="B35" s="90"/>
      <c r="C35" s="90"/>
      <c r="D35" s="83" t="s">
        <v>57</v>
      </c>
      <c r="E35" s="84"/>
      <c r="F35" s="83" t="s">
        <v>58</v>
      </c>
      <c r="G35" s="84"/>
      <c r="H35" s="83" t="s">
        <v>56</v>
      </c>
      <c r="I35" s="84"/>
      <c r="J35" s="83" t="s">
        <v>57</v>
      </c>
      <c r="K35" s="84"/>
      <c r="L35" s="83" t="s">
        <v>58</v>
      </c>
      <c r="M35" s="84"/>
      <c r="N35" s="83" t="s">
        <v>56</v>
      </c>
      <c r="O35" s="84"/>
      <c r="P35" s="83" t="s">
        <v>57</v>
      </c>
      <c r="Q35" s="84"/>
      <c r="R35" s="83" t="s">
        <v>58</v>
      </c>
      <c r="S35" s="84"/>
      <c r="T35" s="83" t="s">
        <v>56</v>
      </c>
      <c r="U35" s="84"/>
      <c r="V35" s="83" t="s">
        <v>57</v>
      </c>
      <c r="W35" s="84"/>
      <c r="X35" s="83" t="s">
        <v>58</v>
      </c>
      <c r="Y35" s="84"/>
      <c r="Z35" s="83" t="s">
        <v>56</v>
      </c>
      <c r="AA35" s="84"/>
      <c r="AB35" s="83" t="s">
        <v>57</v>
      </c>
      <c r="AC35" s="84"/>
      <c r="AD35" s="83" t="s">
        <v>58</v>
      </c>
      <c r="AE35" s="84"/>
      <c r="AF35" s="83" t="s">
        <v>56</v>
      </c>
      <c r="AG35" s="84"/>
      <c r="AH35" s="83" t="s">
        <v>57</v>
      </c>
      <c r="AI35" s="84"/>
      <c r="AJ35" s="83" t="s">
        <v>58</v>
      </c>
      <c r="AK35" s="84"/>
      <c r="AL35" s="83" t="s">
        <v>56</v>
      </c>
      <c r="AM35" s="84"/>
      <c r="AN35" s="90"/>
    </row>
    <row r="36" spans="2:40">
      <c r="B36" s="91"/>
      <c r="C36" s="91"/>
      <c r="D36" s="4" t="s">
        <v>59</v>
      </c>
      <c r="E36" s="4" t="s">
        <v>60</v>
      </c>
      <c r="F36" s="4" t="s">
        <v>59</v>
      </c>
      <c r="G36" s="4" t="s">
        <v>60</v>
      </c>
      <c r="H36" s="4" t="s">
        <v>59</v>
      </c>
      <c r="I36" s="4" t="s">
        <v>60</v>
      </c>
      <c r="J36" s="4" t="s">
        <v>59</v>
      </c>
      <c r="K36" s="4" t="s">
        <v>60</v>
      </c>
      <c r="L36" s="4" t="s">
        <v>59</v>
      </c>
      <c r="M36" s="4" t="s">
        <v>60</v>
      </c>
      <c r="N36" s="4" t="s">
        <v>59</v>
      </c>
      <c r="O36" s="4" t="s">
        <v>60</v>
      </c>
      <c r="P36" s="4" t="s">
        <v>59</v>
      </c>
      <c r="Q36" s="4" t="s">
        <v>60</v>
      </c>
      <c r="R36" s="4" t="s">
        <v>59</v>
      </c>
      <c r="S36" s="4" t="s">
        <v>60</v>
      </c>
      <c r="T36" s="4" t="s">
        <v>59</v>
      </c>
      <c r="U36" s="4" t="s">
        <v>60</v>
      </c>
      <c r="V36" s="4" t="s">
        <v>59</v>
      </c>
      <c r="W36" s="4" t="s">
        <v>60</v>
      </c>
      <c r="X36" s="4" t="s">
        <v>59</v>
      </c>
      <c r="Y36" s="4" t="s">
        <v>60</v>
      </c>
      <c r="Z36" s="4" t="s">
        <v>59</v>
      </c>
      <c r="AA36" s="4" t="s">
        <v>60</v>
      </c>
      <c r="AB36" s="4" t="s">
        <v>59</v>
      </c>
      <c r="AC36" s="4" t="s">
        <v>60</v>
      </c>
      <c r="AD36" s="4" t="s">
        <v>59</v>
      </c>
      <c r="AE36" s="4" t="s">
        <v>60</v>
      </c>
      <c r="AF36" s="4" t="s">
        <v>59</v>
      </c>
      <c r="AG36" s="4" t="s">
        <v>60</v>
      </c>
      <c r="AH36" s="4" t="s">
        <v>59</v>
      </c>
      <c r="AI36" s="4" t="s">
        <v>60</v>
      </c>
      <c r="AJ36" s="4" t="s">
        <v>59</v>
      </c>
      <c r="AK36" s="4" t="s">
        <v>60</v>
      </c>
      <c r="AL36" s="4" t="s">
        <v>59</v>
      </c>
      <c r="AM36" s="4" t="s">
        <v>60</v>
      </c>
      <c r="AN36" s="91"/>
    </row>
    <row r="37" spans="2:40">
      <c r="B37" s="5">
        <v>1</v>
      </c>
      <c r="C37" s="6" t="s">
        <v>61</v>
      </c>
      <c r="D37" s="5">
        <v>281</v>
      </c>
      <c r="E37" s="5">
        <v>51.47</v>
      </c>
      <c r="F37" s="5">
        <v>265</v>
      </c>
      <c r="G37" s="5">
        <v>48.53</v>
      </c>
      <c r="H37" s="5">
        <v>546</v>
      </c>
      <c r="I37" s="5">
        <v>4.6900000000000004</v>
      </c>
      <c r="J37" s="5">
        <v>598</v>
      </c>
      <c r="K37" s="5">
        <v>51.6</v>
      </c>
      <c r="L37" s="5">
        <v>561</v>
      </c>
      <c r="M37" s="5">
        <v>48.4</v>
      </c>
      <c r="N37" s="7">
        <v>1159</v>
      </c>
      <c r="O37" s="5">
        <v>9.9700000000000006</v>
      </c>
      <c r="P37" s="7">
        <v>2309</v>
      </c>
      <c r="Q37" s="5">
        <v>51.36</v>
      </c>
      <c r="R37" s="7">
        <v>2187</v>
      </c>
      <c r="S37" s="5">
        <v>48.64</v>
      </c>
      <c r="T37" s="7">
        <v>4496</v>
      </c>
      <c r="U37" s="5">
        <v>38.659999999999997</v>
      </c>
      <c r="V37" s="7">
        <v>1629</v>
      </c>
      <c r="W37" s="5">
        <v>49.16</v>
      </c>
      <c r="X37" s="7">
        <v>1685</v>
      </c>
      <c r="Y37" s="5">
        <v>50.84</v>
      </c>
      <c r="Z37" s="7">
        <v>3314</v>
      </c>
      <c r="AA37" s="5">
        <v>28.5</v>
      </c>
      <c r="AB37" s="5">
        <v>954</v>
      </c>
      <c r="AC37" s="5">
        <v>45.11</v>
      </c>
      <c r="AD37" s="7">
        <v>1161</v>
      </c>
      <c r="AE37" s="5">
        <v>54.89</v>
      </c>
      <c r="AF37" s="7">
        <v>2115</v>
      </c>
      <c r="AG37" s="5">
        <v>18.190000000000001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7">
        <v>11630</v>
      </c>
    </row>
    <row r="38" spans="2:40">
      <c r="B38" s="5">
        <v>2</v>
      </c>
      <c r="C38" s="6" t="s">
        <v>62</v>
      </c>
      <c r="D38" s="5">
        <v>195</v>
      </c>
      <c r="E38" s="5">
        <v>48.51</v>
      </c>
      <c r="F38" s="5">
        <v>207</v>
      </c>
      <c r="G38" s="5">
        <v>51.49</v>
      </c>
      <c r="H38" s="5">
        <v>402</v>
      </c>
      <c r="I38" s="5">
        <v>3.46</v>
      </c>
      <c r="J38" s="5">
        <v>479</v>
      </c>
      <c r="K38" s="5">
        <v>50.42</v>
      </c>
      <c r="L38" s="5">
        <v>471</v>
      </c>
      <c r="M38" s="5">
        <v>49.58</v>
      </c>
      <c r="N38" s="5">
        <v>950</v>
      </c>
      <c r="O38" s="5">
        <v>8.17</v>
      </c>
      <c r="P38" s="7">
        <v>1775</v>
      </c>
      <c r="Q38" s="5">
        <v>51.45</v>
      </c>
      <c r="R38" s="7">
        <v>1675</v>
      </c>
      <c r="S38" s="5">
        <v>48.55</v>
      </c>
      <c r="T38" s="7">
        <v>3450</v>
      </c>
      <c r="U38" s="5">
        <v>29.66</v>
      </c>
      <c r="V38" s="7">
        <v>1900</v>
      </c>
      <c r="W38" s="5">
        <v>50.61</v>
      </c>
      <c r="X38" s="7">
        <v>1854</v>
      </c>
      <c r="Y38" s="5">
        <v>49.39</v>
      </c>
      <c r="Z38" s="7">
        <v>3754</v>
      </c>
      <c r="AA38" s="5">
        <v>32.270000000000003</v>
      </c>
      <c r="AB38" s="7">
        <v>1461</v>
      </c>
      <c r="AC38" s="5">
        <v>47.48</v>
      </c>
      <c r="AD38" s="7">
        <v>1616</v>
      </c>
      <c r="AE38" s="5">
        <v>52.52</v>
      </c>
      <c r="AF38" s="7">
        <v>3077</v>
      </c>
      <c r="AG38" s="5">
        <v>26.45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7">
        <v>11633</v>
      </c>
    </row>
    <row r="39" spans="2:40">
      <c r="B39" s="5">
        <v>3</v>
      </c>
      <c r="C39" s="6" t="s">
        <v>63</v>
      </c>
      <c r="D39" s="5">
        <v>89</v>
      </c>
      <c r="E39" s="5">
        <v>52.35</v>
      </c>
      <c r="F39" s="5">
        <v>81</v>
      </c>
      <c r="G39" s="5">
        <v>47.65</v>
      </c>
      <c r="H39" s="5">
        <v>170</v>
      </c>
      <c r="I39" s="5">
        <v>3.73</v>
      </c>
      <c r="J39" s="5">
        <v>219</v>
      </c>
      <c r="K39" s="5">
        <v>47.51</v>
      </c>
      <c r="L39" s="5">
        <v>242</v>
      </c>
      <c r="M39" s="5">
        <v>52.49</v>
      </c>
      <c r="N39" s="5">
        <v>461</v>
      </c>
      <c r="O39" s="5">
        <v>10.11</v>
      </c>
      <c r="P39" s="5">
        <v>756</v>
      </c>
      <c r="Q39" s="5">
        <v>50.03</v>
      </c>
      <c r="R39" s="5">
        <v>755</v>
      </c>
      <c r="S39" s="5">
        <v>49.97</v>
      </c>
      <c r="T39" s="7">
        <v>1511</v>
      </c>
      <c r="U39" s="5">
        <v>33.14</v>
      </c>
      <c r="V39" s="5">
        <v>717</v>
      </c>
      <c r="W39" s="5">
        <v>46.86</v>
      </c>
      <c r="X39" s="5">
        <v>813</v>
      </c>
      <c r="Y39" s="5">
        <v>53.14</v>
      </c>
      <c r="Z39" s="7">
        <v>1530</v>
      </c>
      <c r="AA39" s="5">
        <v>33.549999999999997</v>
      </c>
      <c r="AB39" s="5">
        <v>368</v>
      </c>
      <c r="AC39" s="5">
        <v>41.44</v>
      </c>
      <c r="AD39" s="5">
        <v>520</v>
      </c>
      <c r="AE39" s="5">
        <v>58.56</v>
      </c>
      <c r="AF39" s="5">
        <v>888</v>
      </c>
      <c r="AG39" s="5">
        <v>19.47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7">
        <v>4560</v>
      </c>
    </row>
    <row r="40" spans="2:40">
      <c r="B40" s="5">
        <v>4</v>
      </c>
      <c r="C40" s="6" t="s">
        <v>64</v>
      </c>
      <c r="D40" s="5">
        <v>1</v>
      </c>
      <c r="E40" s="5">
        <v>100</v>
      </c>
      <c r="F40" s="5">
        <v>0</v>
      </c>
      <c r="G40" s="5">
        <v>0</v>
      </c>
      <c r="H40" s="5">
        <v>1</v>
      </c>
      <c r="I40" s="5">
        <v>14.29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</v>
      </c>
      <c r="Q40" s="5">
        <v>75</v>
      </c>
      <c r="R40" s="5">
        <v>1</v>
      </c>
      <c r="S40" s="5">
        <v>25</v>
      </c>
      <c r="T40" s="5">
        <v>4</v>
      </c>
      <c r="U40" s="5">
        <v>57.14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2</v>
      </c>
      <c r="AE40" s="5">
        <v>100</v>
      </c>
      <c r="AF40" s="5">
        <v>2</v>
      </c>
      <c r="AG40" s="5">
        <v>28.57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7</v>
      </c>
    </row>
    <row r="41" spans="2:40">
      <c r="B41" s="85" t="s">
        <v>56</v>
      </c>
      <c r="C41" s="86"/>
      <c r="D41" s="8">
        <v>566</v>
      </c>
      <c r="E41" s="8">
        <v>50.58</v>
      </c>
      <c r="F41" s="8">
        <v>553</v>
      </c>
      <c r="G41" s="8">
        <v>49.42</v>
      </c>
      <c r="H41" s="9">
        <v>1119</v>
      </c>
      <c r="I41" s="8">
        <v>4.0199999999999996</v>
      </c>
      <c r="J41" s="9">
        <v>1296</v>
      </c>
      <c r="K41" s="8">
        <v>50.43</v>
      </c>
      <c r="L41" s="9">
        <v>1274</v>
      </c>
      <c r="M41" s="8">
        <v>49.57</v>
      </c>
      <c r="N41" s="9">
        <v>2570</v>
      </c>
      <c r="O41" s="8">
        <v>9.23</v>
      </c>
      <c r="P41" s="9">
        <v>4843</v>
      </c>
      <c r="Q41" s="8">
        <v>51.19</v>
      </c>
      <c r="R41" s="9">
        <v>4618</v>
      </c>
      <c r="S41" s="8">
        <v>48.81</v>
      </c>
      <c r="T41" s="9">
        <v>9461</v>
      </c>
      <c r="U41" s="8">
        <v>34</v>
      </c>
      <c r="V41" s="9">
        <v>4246</v>
      </c>
      <c r="W41" s="8">
        <v>49.38</v>
      </c>
      <c r="X41" s="9">
        <v>4352</v>
      </c>
      <c r="Y41" s="8">
        <v>50.62</v>
      </c>
      <c r="Z41" s="9">
        <v>8598</v>
      </c>
      <c r="AA41" s="8">
        <v>30.89</v>
      </c>
      <c r="AB41" s="9">
        <v>2783</v>
      </c>
      <c r="AC41" s="8">
        <v>45.76</v>
      </c>
      <c r="AD41" s="9">
        <v>3299</v>
      </c>
      <c r="AE41" s="8">
        <v>54.24</v>
      </c>
      <c r="AF41" s="9">
        <v>6082</v>
      </c>
      <c r="AG41" s="8">
        <v>21.85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9">
        <v>27830</v>
      </c>
    </row>
    <row r="42" spans="2:40"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  <c r="AM42" s="82"/>
      <c r="AN42" s="82"/>
    </row>
  </sheetData>
  <mergeCells count="89">
    <mergeCell ref="B6:B8"/>
    <mergeCell ref="C6:C8"/>
    <mergeCell ref="D6:I6"/>
    <mergeCell ref="J6:O6"/>
    <mergeCell ref="P6:U6"/>
    <mergeCell ref="R7:S7"/>
    <mergeCell ref="T7:U7"/>
    <mergeCell ref="AB6:AG6"/>
    <mergeCell ref="AH6:AM6"/>
    <mergeCell ref="AN6:AN8"/>
    <mergeCell ref="D7:E7"/>
    <mergeCell ref="F7:G7"/>
    <mergeCell ref="H7:I7"/>
    <mergeCell ref="J7:K7"/>
    <mergeCell ref="L7:M7"/>
    <mergeCell ref="N7:O7"/>
    <mergeCell ref="P7:Q7"/>
    <mergeCell ref="V6:AA6"/>
    <mergeCell ref="V7:W7"/>
    <mergeCell ref="X7:Y7"/>
    <mergeCell ref="AL7:AM7"/>
    <mergeCell ref="B13:C13"/>
    <mergeCell ref="B20:B22"/>
    <mergeCell ref="C20:C22"/>
    <mergeCell ref="D20:I20"/>
    <mergeCell ref="J20:O20"/>
    <mergeCell ref="P20:U20"/>
    <mergeCell ref="V20:AA20"/>
    <mergeCell ref="AB20:AG20"/>
    <mergeCell ref="AH20:AM20"/>
    <mergeCell ref="Z7:AA7"/>
    <mergeCell ref="AB7:AC7"/>
    <mergeCell ref="AD7:AE7"/>
    <mergeCell ref="AF7:AG7"/>
    <mergeCell ref="AH7:AI7"/>
    <mergeCell ref="AJ7:AK7"/>
    <mergeCell ref="AN20:AN22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AH21:AI21"/>
    <mergeCell ref="AJ21:AK21"/>
    <mergeCell ref="AL21:AM21"/>
    <mergeCell ref="B27:C27"/>
    <mergeCell ref="B34:B36"/>
    <mergeCell ref="C34:C36"/>
    <mergeCell ref="D34:I34"/>
    <mergeCell ref="J34:O34"/>
    <mergeCell ref="P34:U34"/>
    <mergeCell ref="V34:AA34"/>
    <mergeCell ref="V21:W21"/>
    <mergeCell ref="X21:Y21"/>
    <mergeCell ref="Z21:AA21"/>
    <mergeCell ref="AB21:AC21"/>
    <mergeCell ref="AD21:AE21"/>
    <mergeCell ref="AF21:AG21"/>
    <mergeCell ref="AB35:AC35"/>
    <mergeCell ref="AB34:AG34"/>
    <mergeCell ref="AH34:AM34"/>
    <mergeCell ref="AN34:AN36"/>
    <mergeCell ref="D35:E35"/>
    <mergeCell ref="F35:G35"/>
    <mergeCell ref="H35:I35"/>
    <mergeCell ref="J35:K35"/>
    <mergeCell ref="L35:M35"/>
    <mergeCell ref="N35:O35"/>
    <mergeCell ref="P35:Q35"/>
    <mergeCell ref="B14:AN14"/>
    <mergeCell ref="B15:AN15"/>
    <mergeCell ref="B28:AN28"/>
    <mergeCell ref="B29:AN29"/>
    <mergeCell ref="B42:AN42"/>
    <mergeCell ref="AD35:AE35"/>
    <mergeCell ref="AF35:AG35"/>
    <mergeCell ref="AH35:AI35"/>
    <mergeCell ref="AJ35:AK35"/>
    <mergeCell ref="AL35:AM35"/>
    <mergeCell ref="B41:C41"/>
    <mergeCell ref="R35:S35"/>
    <mergeCell ref="T35:U35"/>
    <mergeCell ref="V35:W35"/>
    <mergeCell ref="X35:Y35"/>
    <mergeCell ref="Z35:AA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Demogradi semua DUN</vt:lpstr>
      <vt:lpstr>Jelebu</vt:lpstr>
      <vt:lpstr>Jempol</vt:lpstr>
      <vt:lpstr>Seremban</vt:lpstr>
      <vt:lpstr>Kuala Pilah</vt:lpstr>
      <vt:lpstr>Rasah</vt:lpstr>
      <vt:lpstr>Rembau</vt:lpstr>
      <vt:lpstr>Port Dickson</vt:lpstr>
      <vt:lpstr>Tampin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 ABD RAHMAN</dc:creator>
  <cp:lastModifiedBy>FIRDAUS ABD RAHMAN</cp:lastModifiedBy>
  <cp:lastPrinted>2026-06-11T09:05:48Z</cp:lastPrinted>
  <dcterms:created xsi:type="dcterms:W3CDTF">2026-06-11T06:04:23Z</dcterms:created>
  <dcterms:modified xsi:type="dcterms:W3CDTF">2026-06-13T02:41:57Z</dcterms:modified>
</cp:coreProperties>
</file>