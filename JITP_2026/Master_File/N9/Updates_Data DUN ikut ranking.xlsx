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daus's surface\Downloads\"/>
    </mc:Choice>
  </mc:AlternateContent>
  <xr:revisionPtr revIDLastSave="0" documentId="8_{E2EE52FA-C62F-43E8-A68E-E6B0A125FF5B}" xr6:coauthVersionLast="47" xr6:coauthVersionMax="47" xr10:uidLastSave="{00000000-0000-0000-0000-000000000000}"/>
  <bookViews>
    <workbookView xWindow="-110" yWindow="-110" windowWidth="22180" windowHeight="14140" tabRatio="827" xr2:uid="{3498C5AC-CC82-481D-83E1-44D9270A2E22}"/>
  </bookViews>
  <sheets>
    <sheet name="Compile" sheetId="8" r:id="rId1"/>
    <sheet name="(1) Majoriti" sheetId="1" r:id="rId2"/>
    <sheet name="(2) Pengundi &amp; % Melayu" sheetId="2" r:id="rId3"/>
    <sheet name="(3) SKT 51%" sheetId="3" r:id="rId4"/>
    <sheet name="(4) BKC vs modal PRU15" sheetId="4" r:id="rId5"/>
    <sheet name="(5) Cula" sheetId="5" r:id="rId6"/>
    <sheet name="(6) Perbezaan pengundi" sheetId="6" r:id="rId7"/>
    <sheet name="(7) Cula vs SKT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0" i="8" l="1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G30" i="8"/>
  <c r="F30" i="8"/>
  <c r="E30" i="8"/>
  <c r="C30" i="8"/>
  <c r="G24" i="8"/>
  <c r="F24" i="8"/>
  <c r="E24" i="8"/>
  <c r="C24" i="8"/>
  <c r="G7" i="8"/>
  <c r="F7" i="8"/>
  <c r="E7" i="8"/>
  <c r="C7" i="8"/>
  <c r="G28" i="8"/>
  <c r="F28" i="8"/>
  <c r="E28" i="8"/>
  <c r="C28" i="8"/>
  <c r="G21" i="8"/>
  <c r="F21" i="8"/>
  <c r="E21" i="8"/>
  <c r="C21" i="8"/>
  <c r="G6" i="8"/>
  <c r="F6" i="8"/>
  <c r="E6" i="8"/>
  <c r="C6" i="8"/>
  <c r="G34" i="8"/>
  <c r="F34" i="8"/>
  <c r="E34" i="8"/>
  <c r="C34" i="8"/>
  <c r="G31" i="8"/>
  <c r="F31" i="8"/>
  <c r="E31" i="8"/>
  <c r="C31" i="8"/>
  <c r="G11" i="8"/>
  <c r="F11" i="8"/>
  <c r="E11" i="8"/>
  <c r="C11" i="8"/>
  <c r="G35" i="8"/>
  <c r="F35" i="8"/>
  <c r="E35" i="8"/>
  <c r="C35" i="8"/>
  <c r="G29" i="8"/>
  <c r="F29" i="8"/>
  <c r="E29" i="8"/>
  <c r="C29" i="8"/>
  <c r="G5" i="8"/>
  <c r="F5" i="8"/>
  <c r="E5" i="8"/>
  <c r="C5" i="8"/>
  <c r="G37" i="8"/>
  <c r="F37" i="8"/>
  <c r="E37" i="8"/>
  <c r="C37" i="8"/>
  <c r="G39" i="8"/>
  <c r="F39" i="8"/>
  <c r="E39" i="8"/>
  <c r="C39" i="8"/>
  <c r="G32" i="8"/>
  <c r="F32" i="8"/>
  <c r="E32" i="8"/>
  <c r="C32" i="8"/>
  <c r="G40" i="8"/>
  <c r="F40" i="8"/>
  <c r="E40" i="8"/>
  <c r="C40" i="8"/>
  <c r="G8" i="8"/>
  <c r="F8" i="8"/>
  <c r="E8" i="8"/>
  <c r="C8" i="8"/>
  <c r="G22" i="8"/>
  <c r="F22" i="8"/>
  <c r="E22" i="8"/>
  <c r="C22" i="8"/>
  <c r="G20" i="8"/>
  <c r="F20" i="8"/>
  <c r="E20" i="8"/>
  <c r="C20" i="8"/>
  <c r="G17" i="8"/>
  <c r="F17" i="8"/>
  <c r="E17" i="8"/>
  <c r="C17" i="8"/>
  <c r="G13" i="8"/>
  <c r="F13" i="8"/>
  <c r="E13" i="8"/>
  <c r="C13" i="8"/>
  <c r="G10" i="8"/>
  <c r="F10" i="8"/>
  <c r="E10" i="8"/>
  <c r="C10" i="8"/>
  <c r="G12" i="8"/>
  <c r="F12" i="8"/>
  <c r="E12" i="8"/>
  <c r="C12" i="8"/>
  <c r="G25" i="8"/>
  <c r="F25" i="8"/>
  <c r="E25" i="8"/>
  <c r="C25" i="8"/>
  <c r="G27" i="8"/>
  <c r="F27" i="8"/>
  <c r="E27" i="8"/>
  <c r="C27" i="8"/>
  <c r="G38" i="8"/>
  <c r="F38" i="8"/>
  <c r="E38" i="8"/>
  <c r="C38" i="8"/>
  <c r="G36" i="8"/>
  <c r="F36" i="8"/>
  <c r="E36" i="8"/>
  <c r="C36" i="8"/>
  <c r="G18" i="8"/>
  <c r="F18" i="8"/>
  <c r="E18" i="8"/>
  <c r="C18" i="8"/>
  <c r="G33" i="8"/>
  <c r="F33" i="8"/>
  <c r="E33" i="8"/>
  <c r="C33" i="8"/>
  <c r="G19" i="8"/>
  <c r="F19" i="8"/>
  <c r="E19" i="8"/>
  <c r="C19" i="8"/>
  <c r="G15" i="8"/>
  <c r="F15" i="8"/>
  <c r="E15" i="8"/>
  <c r="C15" i="8"/>
  <c r="G9" i="8"/>
  <c r="F9" i="8"/>
  <c r="E9" i="8"/>
  <c r="C9" i="8"/>
  <c r="G16" i="8"/>
  <c r="F16" i="8"/>
  <c r="E16" i="8"/>
  <c r="C16" i="8"/>
  <c r="G14" i="8"/>
  <c r="F14" i="8"/>
  <c r="E14" i="8"/>
  <c r="C14" i="8"/>
  <c r="G26" i="8"/>
  <c r="F26" i="8"/>
  <c r="E26" i="8"/>
  <c r="C26" i="8"/>
  <c r="G23" i="8"/>
  <c r="F23" i="8"/>
  <c r="E23" i="8"/>
  <c r="C23" i="8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G27" i="6"/>
  <c r="G38" i="6"/>
  <c r="G8" i="6"/>
  <c r="G18" i="6"/>
  <c r="G21" i="6"/>
  <c r="G22" i="6"/>
  <c r="G17" i="6"/>
  <c r="G29" i="6"/>
  <c r="G39" i="6"/>
  <c r="G30" i="6"/>
  <c r="G25" i="6"/>
  <c r="G33" i="6"/>
  <c r="G12" i="6"/>
  <c r="G23" i="6"/>
  <c r="G20" i="6"/>
  <c r="G28" i="6"/>
  <c r="G31" i="6"/>
  <c r="G37" i="6"/>
  <c r="G19" i="6"/>
  <c r="G10" i="6"/>
  <c r="G34" i="6"/>
  <c r="G36" i="6"/>
  <c r="G26" i="6"/>
  <c r="G14" i="6"/>
  <c r="G16" i="6"/>
  <c r="G32" i="6"/>
  <c r="G40" i="6"/>
  <c r="G24" i="6"/>
  <c r="G13" i="6"/>
  <c r="G9" i="6"/>
  <c r="G6" i="6"/>
  <c r="G15" i="6"/>
  <c r="G35" i="6"/>
  <c r="G11" i="6"/>
  <c r="G7" i="6"/>
  <c r="G5" i="6"/>
  <c r="N25" i="5"/>
  <c r="E64" i="5" s="1"/>
  <c r="N27" i="5"/>
  <c r="E66" i="5" s="1"/>
  <c r="N15" i="5"/>
  <c r="E54" i="5" s="1"/>
  <c r="N28" i="5"/>
  <c r="E67" i="5" s="1"/>
  <c r="N14" i="5"/>
  <c r="E53" i="5" s="1"/>
  <c r="N31" i="5"/>
  <c r="E70" i="5" s="1"/>
  <c r="N34" i="5"/>
  <c r="E73" i="5" s="1"/>
  <c r="N12" i="5"/>
  <c r="E51" i="5" s="1"/>
  <c r="N26" i="5"/>
  <c r="E65" i="5" s="1"/>
  <c r="N33" i="5"/>
  <c r="E72" i="5" s="1"/>
  <c r="N40" i="5"/>
  <c r="E79" i="5" s="1"/>
  <c r="N30" i="5"/>
  <c r="E69" i="5" s="1"/>
  <c r="N37" i="5"/>
  <c r="E76" i="5" s="1"/>
  <c r="N16" i="5"/>
  <c r="E55" i="5" s="1"/>
  <c r="N6" i="5"/>
  <c r="E45" i="5" s="1"/>
  <c r="N17" i="5"/>
  <c r="O17" i="5" s="1"/>
  <c r="N39" i="5"/>
  <c r="E78" i="5" s="1"/>
  <c r="N5" i="5"/>
  <c r="E44" i="5" s="1"/>
  <c r="N23" i="5"/>
  <c r="E62" i="5" s="1"/>
  <c r="N36" i="5"/>
  <c r="E75" i="5" s="1"/>
  <c r="N22" i="5"/>
  <c r="E61" i="5" s="1"/>
  <c r="N11" i="5"/>
  <c r="E50" i="5" s="1"/>
  <c r="N13" i="5"/>
  <c r="E52" i="5" s="1"/>
  <c r="N21" i="5"/>
  <c r="O21" i="5" s="1"/>
  <c r="N8" i="5"/>
  <c r="E47" i="5" s="1"/>
  <c r="N10" i="5"/>
  <c r="E49" i="5" s="1"/>
  <c r="N7" i="5"/>
  <c r="E46" i="5" s="1"/>
  <c r="N20" i="5"/>
  <c r="E59" i="5" s="1"/>
  <c r="N18" i="5"/>
  <c r="E57" i="5" s="1"/>
  <c r="N32" i="5"/>
  <c r="E71" i="5" s="1"/>
  <c r="N19" i="5"/>
  <c r="E58" i="5" s="1"/>
  <c r="N9" i="5"/>
  <c r="O9" i="5" s="1"/>
  <c r="N24" i="5"/>
  <c r="E63" i="5" s="1"/>
  <c r="N38" i="5"/>
  <c r="E77" i="5" s="1"/>
  <c r="N35" i="5"/>
  <c r="E74" i="5" s="1"/>
  <c r="N29" i="5"/>
  <c r="E68" i="5" s="1"/>
  <c r="D25" i="5"/>
  <c r="D27" i="5"/>
  <c r="D15" i="5"/>
  <c r="D28" i="5"/>
  <c r="D14" i="5"/>
  <c r="D31" i="5"/>
  <c r="D34" i="5"/>
  <c r="D12" i="5"/>
  <c r="D26" i="5"/>
  <c r="D33" i="5"/>
  <c r="D40" i="5"/>
  <c r="D30" i="5"/>
  <c r="D37" i="5"/>
  <c r="D16" i="5"/>
  <c r="D6" i="5"/>
  <c r="D17" i="5"/>
  <c r="D39" i="5"/>
  <c r="D5" i="5"/>
  <c r="D23" i="5"/>
  <c r="D36" i="5"/>
  <c r="D22" i="5"/>
  <c r="D11" i="5"/>
  <c r="D13" i="5"/>
  <c r="D21" i="5"/>
  <c r="D8" i="5"/>
  <c r="D10" i="5"/>
  <c r="D7" i="5"/>
  <c r="D20" i="5"/>
  <c r="D18" i="5"/>
  <c r="D32" i="5"/>
  <c r="D19" i="5"/>
  <c r="D9" i="5"/>
  <c r="D24" i="5"/>
  <c r="D38" i="5"/>
  <c r="D35" i="5"/>
  <c r="D29" i="5"/>
  <c r="O29" i="5" s="1"/>
  <c r="D25" i="4"/>
  <c r="D27" i="4"/>
  <c r="D15" i="4"/>
  <c r="D28" i="4"/>
  <c r="D14" i="4"/>
  <c r="D31" i="4"/>
  <c r="D34" i="4"/>
  <c r="D12" i="4"/>
  <c r="D26" i="4"/>
  <c r="D33" i="4"/>
  <c r="D40" i="4"/>
  <c r="D30" i="4"/>
  <c r="D37" i="4"/>
  <c r="D16" i="4"/>
  <c r="D6" i="4"/>
  <c r="D17" i="4"/>
  <c r="D39" i="4"/>
  <c r="D5" i="4"/>
  <c r="D23" i="4"/>
  <c r="D36" i="4"/>
  <c r="D22" i="4"/>
  <c r="D11" i="4"/>
  <c r="D13" i="4"/>
  <c r="D21" i="4"/>
  <c r="D8" i="4"/>
  <c r="D10" i="4"/>
  <c r="D7" i="4"/>
  <c r="D20" i="4"/>
  <c r="D18" i="4"/>
  <c r="D32" i="4"/>
  <c r="D19" i="4"/>
  <c r="D9" i="4"/>
  <c r="D24" i="4"/>
  <c r="D38" i="4"/>
  <c r="D35" i="4"/>
  <c r="D29" i="4"/>
  <c r="E15" i="3"/>
  <c r="F15" i="3" s="1"/>
  <c r="E27" i="3"/>
  <c r="F27" i="3" s="1"/>
  <c r="E33" i="3"/>
  <c r="F33" i="3" s="1"/>
  <c r="E34" i="3"/>
  <c r="F34" i="3" s="1"/>
  <c r="E34" i="4" s="1"/>
  <c r="E28" i="3"/>
  <c r="F28" i="3" s="1"/>
  <c r="E25" i="3"/>
  <c r="F25" i="3" s="1"/>
  <c r="E12" i="3"/>
  <c r="F12" i="3" s="1"/>
  <c r="E12" i="4" s="1"/>
  <c r="E26" i="3"/>
  <c r="F26" i="3" s="1"/>
  <c r="E26" i="4" s="1"/>
  <c r="E40" i="3"/>
  <c r="F40" i="3" s="1"/>
  <c r="E16" i="3"/>
  <c r="F16" i="3" s="1"/>
  <c r="E37" i="3"/>
  <c r="F37" i="3" s="1"/>
  <c r="E37" i="4" s="1"/>
  <c r="E14" i="3"/>
  <c r="F14" i="3" s="1"/>
  <c r="E5" i="3"/>
  <c r="F5" i="3" s="1"/>
  <c r="E11" i="3"/>
  <c r="F11" i="3" s="1"/>
  <c r="E31" i="3"/>
  <c r="F31" i="3" s="1"/>
  <c r="E31" i="4" s="1"/>
  <c r="F31" i="4" s="1"/>
  <c r="E39" i="3"/>
  <c r="F39" i="3" s="1"/>
  <c r="E39" i="4" s="1"/>
  <c r="E36" i="3"/>
  <c r="F36" i="3" s="1"/>
  <c r="E22" i="3"/>
  <c r="F22" i="3" s="1"/>
  <c r="E8" i="3"/>
  <c r="F8" i="3" s="1"/>
  <c r="E6" i="3"/>
  <c r="F6" i="3" s="1"/>
  <c r="E6" i="4" s="1"/>
  <c r="E17" i="3"/>
  <c r="F17" i="3" s="1"/>
  <c r="E18" i="3"/>
  <c r="F18" i="3" s="1"/>
  <c r="E23" i="3"/>
  <c r="F23" i="3" s="1"/>
  <c r="E23" i="4" s="1"/>
  <c r="E35" i="3"/>
  <c r="F35" i="3" s="1"/>
  <c r="E35" i="4" s="1"/>
  <c r="E24" i="3"/>
  <c r="F24" i="3" s="1"/>
  <c r="E9" i="3"/>
  <c r="F9" i="3" s="1"/>
  <c r="E13" i="3"/>
  <c r="F13" i="3" s="1"/>
  <c r="E13" i="4" s="1"/>
  <c r="E29" i="3"/>
  <c r="F29" i="3" s="1"/>
  <c r="E21" i="3"/>
  <c r="F21" i="3" s="1"/>
  <c r="E19" i="3"/>
  <c r="F19" i="3" s="1"/>
  <c r="E30" i="3"/>
  <c r="F30" i="3" s="1"/>
  <c r="E30" i="4" s="1"/>
  <c r="E7" i="3"/>
  <c r="F7" i="3" s="1"/>
  <c r="E7" i="4" s="1"/>
  <c r="E38" i="3"/>
  <c r="F38" i="3" s="1"/>
  <c r="E32" i="3"/>
  <c r="F32" i="3" s="1"/>
  <c r="E10" i="3"/>
  <c r="F10" i="3" s="1"/>
  <c r="E20" i="3"/>
  <c r="F20" i="3" s="1"/>
  <c r="E20" i="4" s="1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M40" i="2"/>
  <c r="K40" i="2"/>
  <c r="I40" i="2"/>
  <c r="G40" i="2"/>
  <c r="M39" i="2"/>
  <c r="K39" i="2"/>
  <c r="I39" i="2"/>
  <c r="G39" i="2"/>
  <c r="M38" i="2"/>
  <c r="K38" i="2"/>
  <c r="I38" i="2"/>
  <c r="G38" i="2"/>
  <c r="M37" i="2"/>
  <c r="K37" i="2"/>
  <c r="I37" i="2"/>
  <c r="G37" i="2"/>
  <c r="M36" i="2"/>
  <c r="K36" i="2"/>
  <c r="I36" i="2"/>
  <c r="G36" i="2"/>
  <c r="M35" i="2"/>
  <c r="K35" i="2"/>
  <c r="I35" i="2"/>
  <c r="G35" i="2"/>
  <c r="M34" i="2"/>
  <c r="K34" i="2"/>
  <c r="I34" i="2"/>
  <c r="G34" i="2"/>
  <c r="M33" i="2"/>
  <c r="K33" i="2"/>
  <c r="I33" i="2"/>
  <c r="G33" i="2"/>
  <c r="M32" i="2"/>
  <c r="K32" i="2"/>
  <c r="I32" i="2"/>
  <c r="G32" i="2"/>
  <c r="M31" i="2"/>
  <c r="K31" i="2"/>
  <c r="I31" i="2"/>
  <c r="G31" i="2"/>
  <c r="M30" i="2"/>
  <c r="K30" i="2"/>
  <c r="I30" i="2"/>
  <c r="G30" i="2"/>
  <c r="M29" i="2"/>
  <c r="K29" i="2"/>
  <c r="I29" i="2"/>
  <c r="G29" i="2"/>
  <c r="M28" i="2"/>
  <c r="K28" i="2"/>
  <c r="I28" i="2"/>
  <c r="G28" i="2"/>
  <c r="M27" i="2"/>
  <c r="K27" i="2"/>
  <c r="I27" i="2"/>
  <c r="G27" i="2"/>
  <c r="M26" i="2"/>
  <c r="K26" i="2"/>
  <c r="I26" i="2"/>
  <c r="G26" i="2"/>
  <c r="M25" i="2"/>
  <c r="K25" i="2"/>
  <c r="I25" i="2"/>
  <c r="G25" i="2"/>
  <c r="M24" i="2"/>
  <c r="K24" i="2"/>
  <c r="I24" i="2"/>
  <c r="G24" i="2"/>
  <c r="M23" i="2"/>
  <c r="K23" i="2"/>
  <c r="I23" i="2"/>
  <c r="G23" i="2"/>
  <c r="M22" i="2"/>
  <c r="K22" i="2"/>
  <c r="I22" i="2"/>
  <c r="G22" i="2"/>
  <c r="M21" i="2"/>
  <c r="K21" i="2"/>
  <c r="I21" i="2"/>
  <c r="G21" i="2"/>
  <c r="M20" i="2"/>
  <c r="K20" i="2"/>
  <c r="I20" i="2"/>
  <c r="G20" i="2"/>
  <c r="M19" i="2"/>
  <c r="K19" i="2"/>
  <c r="I19" i="2"/>
  <c r="G19" i="2"/>
  <c r="M18" i="2"/>
  <c r="K18" i="2"/>
  <c r="I18" i="2"/>
  <c r="G18" i="2"/>
  <c r="M17" i="2"/>
  <c r="K17" i="2"/>
  <c r="I17" i="2"/>
  <c r="G17" i="2"/>
  <c r="M16" i="2"/>
  <c r="K16" i="2"/>
  <c r="I16" i="2"/>
  <c r="G16" i="2"/>
  <c r="M15" i="2"/>
  <c r="K15" i="2"/>
  <c r="I15" i="2"/>
  <c r="G15" i="2"/>
  <c r="M14" i="2"/>
  <c r="K14" i="2"/>
  <c r="I14" i="2"/>
  <c r="G14" i="2"/>
  <c r="M13" i="2"/>
  <c r="K13" i="2"/>
  <c r="I13" i="2"/>
  <c r="G13" i="2"/>
  <c r="M12" i="2"/>
  <c r="K12" i="2"/>
  <c r="I12" i="2"/>
  <c r="G12" i="2"/>
  <c r="M11" i="2"/>
  <c r="K11" i="2"/>
  <c r="I11" i="2"/>
  <c r="G11" i="2"/>
  <c r="M10" i="2"/>
  <c r="K10" i="2"/>
  <c r="I10" i="2"/>
  <c r="G10" i="2"/>
  <c r="M9" i="2"/>
  <c r="K9" i="2"/>
  <c r="I9" i="2"/>
  <c r="G9" i="2"/>
  <c r="M8" i="2"/>
  <c r="K8" i="2"/>
  <c r="I8" i="2"/>
  <c r="G8" i="2"/>
  <c r="M7" i="2"/>
  <c r="K7" i="2"/>
  <c r="I7" i="2"/>
  <c r="G7" i="2"/>
  <c r="M6" i="2"/>
  <c r="K6" i="2"/>
  <c r="I6" i="2"/>
  <c r="G6" i="2"/>
  <c r="M5" i="2"/>
  <c r="K5" i="2"/>
  <c r="I5" i="2"/>
  <c r="G5" i="2"/>
  <c r="D20" i="7" l="1"/>
  <c r="D29" i="7"/>
  <c r="D36" i="7"/>
  <c r="D12" i="7"/>
  <c r="F44" i="5"/>
  <c r="F52" i="5"/>
  <c r="F68" i="5"/>
  <c r="F76" i="5"/>
  <c r="E48" i="5"/>
  <c r="F48" i="5" s="1"/>
  <c r="E56" i="5"/>
  <c r="D14" i="7"/>
  <c r="D18" i="7"/>
  <c r="D19" i="7"/>
  <c r="D27" i="7"/>
  <c r="F27" i="7" s="1"/>
  <c r="F45" i="5"/>
  <c r="F53" i="5"/>
  <c r="F61" i="5"/>
  <c r="F69" i="5"/>
  <c r="F77" i="5"/>
  <c r="D11" i="7"/>
  <c r="F11" i="7" s="1"/>
  <c r="D10" i="7"/>
  <c r="F10" i="7" s="1"/>
  <c r="D32" i="7"/>
  <c r="F32" i="7" s="1"/>
  <c r="D26" i="7"/>
  <c r="F26" i="7" s="1"/>
  <c r="F46" i="5"/>
  <c r="F54" i="5"/>
  <c r="F62" i="5"/>
  <c r="F70" i="5"/>
  <c r="F78" i="5"/>
  <c r="D21" i="7"/>
  <c r="F21" i="7" s="1"/>
  <c r="D6" i="7"/>
  <c r="F6" i="7" s="1"/>
  <c r="D33" i="7"/>
  <c r="F33" i="7" s="1"/>
  <c r="D17" i="7"/>
  <c r="F47" i="5"/>
  <c r="F55" i="5"/>
  <c r="F63" i="5"/>
  <c r="F71" i="5"/>
  <c r="F79" i="5"/>
  <c r="D8" i="7"/>
  <c r="D25" i="7"/>
  <c r="F25" i="7" s="1"/>
  <c r="D5" i="7"/>
  <c r="F5" i="7" s="1"/>
  <c r="D37" i="7"/>
  <c r="F37" i="7" s="1"/>
  <c r="D16" i="7"/>
  <c r="F16" i="7" s="1"/>
  <c r="F56" i="5"/>
  <c r="F64" i="5"/>
  <c r="F72" i="5"/>
  <c r="E60" i="5"/>
  <c r="F60" i="5" s="1"/>
  <c r="D4" i="7"/>
  <c r="F4" i="7" s="1"/>
  <c r="D35" i="7"/>
  <c r="F35" i="7" s="1"/>
  <c r="D15" i="7"/>
  <c r="F15" i="7" s="1"/>
  <c r="D24" i="7"/>
  <c r="F24" i="7" s="1"/>
  <c r="D31" i="7"/>
  <c r="F31" i="7" s="1"/>
  <c r="F49" i="5"/>
  <c r="F57" i="5"/>
  <c r="F65" i="5"/>
  <c r="F73" i="5"/>
  <c r="D2" i="7"/>
  <c r="F2" i="7" s="1"/>
  <c r="D23" i="7"/>
  <c r="F23" i="7" s="1"/>
  <c r="D7" i="7"/>
  <c r="F7" i="7" s="1"/>
  <c r="D34" i="7"/>
  <c r="F34" i="7" s="1"/>
  <c r="D22" i="7"/>
  <c r="F22" i="7" s="1"/>
  <c r="F50" i="5"/>
  <c r="F58" i="5"/>
  <c r="F66" i="5"/>
  <c r="F74" i="5"/>
  <c r="D3" i="7"/>
  <c r="F3" i="7" s="1"/>
  <c r="D9" i="7"/>
  <c r="F9" i="7" s="1"/>
  <c r="D30" i="7"/>
  <c r="F30" i="7" s="1"/>
  <c r="D13" i="7"/>
  <c r="F13" i="7" s="1"/>
  <c r="D28" i="7"/>
  <c r="F28" i="7" s="1"/>
  <c r="F51" i="5"/>
  <c r="F59" i="5"/>
  <c r="F67" i="5"/>
  <c r="F75" i="5"/>
  <c r="F12" i="4"/>
  <c r="O12" i="5"/>
  <c r="N5" i="2"/>
  <c r="F8" i="7"/>
  <c r="F17" i="7"/>
  <c r="F19" i="7"/>
  <c r="F18" i="7"/>
  <c r="F14" i="7"/>
  <c r="F12" i="7"/>
  <c r="F36" i="7"/>
  <c r="F29" i="7"/>
  <c r="F20" i="7"/>
  <c r="F6" i="4"/>
  <c r="F13" i="4"/>
  <c r="F23" i="4"/>
  <c r="F37" i="4"/>
  <c r="F34" i="4"/>
  <c r="F30" i="4"/>
  <c r="F20" i="4"/>
  <c r="O32" i="5"/>
  <c r="O11" i="5"/>
  <c r="O16" i="5"/>
  <c r="O31" i="5"/>
  <c r="O18" i="5"/>
  <c r="O22" i="5"/>
  <c r="O37" i="5"/>
  <c r="O14" i="5"/>
  <c r="F7" i="4"/>
  <c r="F35" i="4"/>
  <c r="F39" i="4"/>
  <c r="F26" i="4"/>
  <c r="O19" i="5"/>
  <c r="O13" i="5"/>
  <c r="O6" i="5"/>
  <c r="O34" i="5"/>
  <c r="N7" i="2"/>
  <c r="N13" i="2"/>
  <c r="N21" i="2"/>
  <c r="N23" i="2"/>
  <c r="N29" i="2"/>
  <c r="N37" i="2"/>
  <c r="N6" i="2"/>
  <c r="N8" i="2"/>
  <c r="N12" i="2"/>
  <c r="N16" i="2"/>
  <c r="N20" i="2"/>
  <c r="N24" i="2"/>
  <c r="N26" i="2"/>
  <c r="N28" i="2"/>
  <c r="N30" i="2"/>
  <c r="N32" i="2"/>
  <c r="N34" i="2"/>
  <c r="N40" i="2"/>
  <c r="N15" i="2"/>
  <c r="N31" i="2"/>
  <c r="N39" i="2"/>
  <c r="N10" i="2"/>
  <c r="N14" i="2"/>
  <c r="N18" i="2"/>
  <c r="N22" i="2"/>
  <c r="N36" i="2"/>
  <c r="N38" i="2"/>
  <c r="E10" i="4"/>
  <c r="F10" i="4" s="1"/>
  <c r="G10" i="3"/>
  <c r="E8" i="4"/>
  <c r="F8" i="4" s="1"/>
  <c r="G8" i="3"/>
  <c r="E32" i="4"/>
  <c r="F32" i="4" s="1"/>
  <c r="G32" i="3"/>
  <c r="G14" i="3"/>
  <c r="E28" i="4"/>
  <c r="F28" i="4" s="1"/>
  <c r="G28" i="3"/>
  <c r="G37" i="3"/>
  <c r="G15" i="3"/>
  <c r="G34" i="3"/>
  <c r="E17" i="4"/>
  <c r="F17" i="4" s="1"/>
  <c r="G17" i="3"/>
  <c r="G11" i="3"/>
  <c r="E11" i="4"/>
  <c r="F11" i="4" s="1"/>
  <c r="G5" i="3"/>
  <c r="E5" i="4"/>
  <c r="F5" i="4" s="1"/>
  <c r="E25" i="4"/>
  <c r="F25" i="4" s="1"/>
  <c r="G25" i="3"/>
  <c r="G12" i="3"/>
  <c r="G31" i="3"/>
  <c r="G23" i="3"/>
  <c r="G30" i="3"/>
  <c r="G26" i="3"/>
  <c r="G39" i="3"/>
  <c r="G35" i="3"/>
  <c r="G7" i="3"/>
  <c r="G38" i="3"/>
  <c r="E38" i="4"/>
  <c r="F38" i="4" s="1"/>
  <c r="E9" i="4"/>
  <c r="F9" i="4" s="1"/>
  <c r="G9" i="3"/>
  <c r="E22" i="4"/>
  <c r="F22" i="4" s="1"/>
  <c r="G22" i="3"/>
  <c r="G24" i="3"/>
  <c r="E24" i="4"/>
  <c r="F24" i="4" s="1"/>
  <c r="G36" i="3"/>
  <c r="E36" i="4"/>
  <c r="F36" i="4" s="1"/>
  <c r="E16" i="4"/>
  <c r="F16" i="4" s="1"/>
  <c r="G16" i="3"/>
  <c r="E33" i="4"/>
  <c r="F33" i="4" s="1"/>
  <c r="G33" i="3"/>
  <c r="E27" i="4"/>
  <c r="F27" i="4" s="1"/>
  <c r="G27" i="3"/>
  <c r="E19" i="4"/>
  <c r="F19" i="4" s="1"/>
  <c r="G19" i="3"/>
  <c r="G40" i="3"/>
  <c r="E40" i="4"/>
  <c r="F40" i="4" s="1"/>
  <c r="E21" i="4"/>
  <c r="F21" i="4" s="1"/>
  <c r="G21" i="3"/>
  <c r="E18" i="4"/>
  <c r="F18" i="4" s="1"/>
  <c r="G18" i="3"/>
  <c r="E14" i="4"/>
  <c r="F14" i="4" s="1"/>
  <c r="O36" i="5"/>
  <c r="G20" i="3"/>
  <c r="G6" i="3"/>
  <c r="E29" i="4"/>
  <c r="F29" i="4" s="1"/>
  <c r="O35" i="5"/>
  <c r="O7" i="5"/>
  <c r="O23" i="5"/>
  <c r="O40" i="5"/>
  <c r="O15" i="5"/>
  <c r="G13" i="3"/>
  <c r="O38" i="5"/>
  <c r="O10" i="5"/>
  <c r="O5" i="5"/>
  <c r="O33" i="5"/>
  <c r="O27" i="5"/>
  <c r="O20" i="5"/>
  <c r="O30" i="5"/>
  <c r="O28" i="5"/>
  <c r="G29" i="3"/>
  <c r="E15" i="4"/>
  <c r="F15" i="4" s="1"/>
  <c r="O24" i="5"/>
  <c r="O8" i="5"/>
  <c r="O39" i="5"/>
  <c r="O26" i="5"/>
  <c r="O25" i="5"/>
  <c r="N9" i="2"/>
  <c r="N33" i="2"/>
  <c r="N11" i="2"/>
  <c r="N27" i="2"/>
  <c r="N25" i="2"/>
  <c r="N17" i="2"/>
  <c r="N19" i="2"/>
  <c r="N35" i="2"/>
  <c r="G24" i="4" l="1"/>
  <c r="G18" i="4"/>
  <c r="G8" i="4"/>
  <c r="G15" i="4"/>
  <c r="G22" i="4"/>
  <c r="G14" i="4"/>
  <c r="G19" i="4"/>
  <c r="G17" i="4"/>
  <c r="G32" i="4"/>
  <c r="G20" i="4"/>
  <c r="G30" i="4"/>
  <c r="G34" i="4"/>
  <c r="G33" i="4"/>
  <c r="G23" i="4"/>
  <c r="G26" i="4"/>
  <c r="G39" i="4"/>
  <c r="G13" i="4"/>
  <c r="G27" i="4"/>
  <c r="G5" i="4"/>
  <c r="G21" i="4"/>
  <c r="G11" i="4"/>
  <c r="G9" i="4"/>
  <c r="G35" i="4"/>
  <c r="G6" i="4"/>
  <c r="G25" i="4"/>
  <c r="G37" i="4"/>
  <c r="G29" i="4"/>
  <c r="G10" i="4"/>
  <c r="G40" i="4"/>
  <c r="G28" i="4"/>
  <c r="G16" i="4"/>
  <c r="G36" i="4"/>
  <c r="G38" i="4"/>
  <c r="G12" i="4"/>
  <c r="G7" i="4"/>
  <c r="G31" i="4"/>
  <c r="P27" i="5"/>
  <c r="P38" i="5"/>
  <c r="P40" i="5"/>
  <c r="P37" i="5"/>
  <c r="P19" i="5"/>
  <c r="P25" i="5"/>
  <c r="P15" i="5"/>
  <c r="P36" i="5"/>
  <c r="P26" i="5"/>
  <c r="P34" i="5"/>
  <c r="P22" i="5"/>
  <c r="P28" i="5"/>
  <c r="P39" i="5"/>
  <c r="P33" i="5"/>
  <c r="P21" i="5"/>
  <c r="P18" i="5"/>
  <c r="P13" i="5"/>
  <c r="P10" i="5"/>
  <c r="P20" i="5"/>
  <c r="P35" i="5"/>
  <c r="P16" i="5"/>
  <c r="P17" i="5"/>
  <c r="P30" i="5"/>
  <c r="P5" i="5"/>
  <c r="P31" i="5"/>
  <c r="P11" i="5"/>
  <c r="P23" i="5"/>
  <c r="P29" i="5"/>
  <c r="P32" i="5"/>
  <c r="P7" i="5"/>
  <c r="P14" i="5"/>
  <c r="P8" i="5"/>
  <c r="P6" i="5"/>
  <c r="P9" i="5"/>
  <c r="P12" i="5"/>
  <c r="P24" i="5"/>
</calcChain>
</file>

<file path=xl/sharedStrings.xml><?xml version="1.0" encoding="utf-8"?>
<sst xmlns="http://schemas.openxmlformats.org/spreadsheetml/2006/main" count="1186" uniqueCount="221">
  <si>
    <t>Kod</t>
  </si>
  <si>
    <t>DUN</t>
  </si>
  <si>
    <t>Bil Turun mengundi</t>
  </si>
  <si>
    <t>% turun mengundi</t>
  </si>
  <si>
    <t>Undi Perikatan Nasional (PN)</t>
  </si>
  <si>
    <t>% Perikatan Nasional (PN)</t>
  </si>
  <si>
    <t>Majoriti</t>
  </si>
  <si>
    <t>N01</t>
  </si>
  <si>
    <t>Chennah</t>
  </si>
  <si>
    <t>N02</t>
  </si>
  <si>
    <t>Pertang</t>
  </si>
  <si>
    <t>N03</t>
  </si>
  <si>
    <t>Sungai Lui</t>
  </si>
  <si>
    <t>N04</t>
  </si>
  <si>
    <t>Klawang</t>
  </si>
  <si>
    <t>N05</t>
  </si>
  <si>
    <t>Serting</t>
  </si>
  <si>
    <t>N06</t>
  </si>
  <si>
    <t>Palong</t>
  </si>
  <si>
    <t>N07</t>
  </si>
  <si>
    <t>Jeram Padang</t>
  </si>
  <si>
    <t>N08</t>
  </si>
  <si>
    <t>Bahau</t>
  </si>
  <si>
    <t>N09</t>
  </si>
  <si>
    <t>Lenggeng</t>
  </si>
  <si>
    <t>N10</t>
  </si>
  <si>
    <t>Nilai</t>
  </si>
  <si>
    <t>N11</t>
  </si>
  <si>
    <t>Lobak</t>
  </si>
  <si>
    <t>N12</t>
  </si>
  <si>
    <t>Temiang</t>
  </si>
  <si>
    <t>N13</t>
  </si>
  <si>
    <t>Sikamat</t>
  </si>
  <si>
    <t>N14</t>
  </si>
  <si>
    <t>Ampangan</t>
  </si>
  <si>
    <t>N15</t>
  </si>
  <si>
    <t>Juasseh</t>
  </si>
  <si>
    <t>N16</t>
  </si>
  <si>
    <t>Seri Menanti</t>
  </si>
  <si>
    <t>N17</t>
  </si>
  <si>
    <t>Senaling</t>
  </si>
  <si>
    <t>N18</t>
  </si>
  <si>
    <t>Pilah</t>
  </si>
  <si>
    <t>N19</t>
  </si>
  <si>
    <t>Johol</t>
  </si>
  <si>
    <t>N20</t>
  </si>
  <si>
    <t>Labu</t>
  </si>
  <si>
    <t>N21</t>
  </si>
  <si>
    <t>Bukit Kepayang</t>
  </si>
  <si>
    <t>N22</t>
  </si>
  <si>
    <t>Rahang</t>
  </si>
  <si>
    <t>N23</t>
  </si>
  <si>
    <t>Mambau</t>
  </si>
  <si>
    <t>N24</t>
  </si>
  <si>
    <t>Seremban Jaya</t>
  </si>
  <si>
    <t>N25</t>
  </si>
  <si>
    <t>Paroi</t>
  </si>
  <si>
    <t>N26</t>
  </si>
  <si>
    <t>Chembong</t>
  </si>
  <si>
    <t>N27</t>
  </si>
  <si>
    <t>Rantau</t>
  </si>
  <si>
    <t>N28</t>
  </si>
  <si>
    <t>Kota</t>
  </si>
  <si>
    <t>N29</t>
  </si>
  <si>
    <t>Chuah</t>
  </si>
  <si>
    <t>N30</t>
  </si>
  <si>
    <t>Lukut</t>
  </si>
  <si>
    <t>N31</t>
  </si>
  <si>
    <t>Bagan Pinang</t>
  </si>
  <si>
    <t>N32</t>
  </si>
  <si>
    <t>Linggi</t>
  </si>
  <si>
    <t>N33</t>
  </si>
  <si>
    <t>Sri Tanjung</t>
  </si>
  <si>
    <t>N34</t>
  </si>
  <si>
    <t>Gemas</t>
  </si>
  <si>
    <t>N35</t>
  </si>
  <si>
    <t>Gemencheh</t>
  </si>
  <si>
    <t>N36</t>
  </si>
  <si>
    <t>Repah</t>
  </si>
  <si>
    <t>Ranking</t>
  </si>
  <si>
    <t>Parlimen</t>
  </si>
  <si>
    <t>:</t>
  </si>
  <si>
    <t>126 - JELEBU</t>
  </si>
  <si>
    <t>Bil.</t>
  </si>
  <si>
    <t>Jumlah</t>
  </si>
  <si>
    <t>%</t>
  </si>
  <si>
    <t>01 - CHENNAH</t>
  </si>
  <si>
    <t>02 - PERTANG</t>
  </si>
  <si>
    <t>03 - SUNGAI LUI</t>
  </si>
  <si>
    <t>04 - KLAWANG</t>
  </si>
  <si>
    <t>127 - JEMPOL</t>
  </si>
  <si>
    <t>05 - SERTING</t>
  </si>
  <si>
    <t>06 - PALONG</t>
  </si>
  <si>
    <t>07 - JERAM PADANG</t>
  </si>
  <si>
    <t>08 - BAHAU</t>
  </si>
  <si>
    <t>128 - SEREMBAN</t>
  </si>
  <si>
    <t>09 - LENGGENG</t>
  </si>
  <si>
    <t>10 - NILAI</t>
  </si>
  <si>
    <t>11 - LOBAK</t>
  </si>
  <si>
    <t>12 - TEMIANG</t>
  </si>
  <si>
    <t>13 - SIKAMAT</t>
  </si>
  <si>
    <t>14 - AMPANGAN</t>
  </si>
  <si>
    <t>129 - KUALA PILAH</t>
  </si>
  <si>
    <t>15 - JUASSEH</t>
  </si>
  <si>
    <t>16 - SERI MENANTI</t>
  </si>
  <si>
    <t>17 - SENALING</t>
  </si>
  <si>
    <t>18 - PILAH</t>
  </si>
  <si>
    <t>19 - JOHOL</t>
  </si>
  <si>
    <t>130 - RASAH</t>
  </si>
  <si>
    <t>20 - LABU</t>
  </si>
  <si>
    <t>21 - BUKIT KEPAYANG</t>
  </si>
  <si>
    <t>22 - RAHANG</t>
  </si>
  <si>
    <t>23 - MAMBAU</t>
  </si>
  <si>
    <t>24 - SEREMBAN JAYA</t>
  </si>
  <si>
    <t>131 - REMBAU</t>
  </si>
  <si>
    <t>25 - PAROI</t>
  </si>
  <si>
    <t>26 - CHEMBONG</t>
  </si>
  <si>
    <t>27 - RANTAU</t>
  </si>
  <si>
    <t>28 - KOTA</t>
  </si>
  <si>
    <t>132 - PORT DICKSON</t>
  </si>
  <si>
    <t>29 - CHUAH</t>
  </si>
  <si>
    <t>30 - LUKUT</t>
  </si>
  <si>
    <t>31 - BAGAN PINANG</t>
  </si>
  <si>
    <t>32 - LINGGI</t>
  </si>
  <si>
    <t>33 - SRI TANJUNG</t>
  </si>
  <si>
    <t>133 - TAMPIN</t>
  </si>
  <si>
    <t>34 - GEMAS</t>
  </si>
  <si>
    <t>35 - GEMENCHEH</t>
  </si>
  <si>
    <t>36 - REPAH</t>
  </si>
  <si>
    <t>Bil Pengundi Melayu</t>
  </si>
  <si>
    <t>% Pengundi Melayu</t>
  </si>
  <si>
    <t>Bil Pengundi Cina</t>
  </si>
  <si>
    <t>% Pengundi Cina</t>
  </si>
  <si>
    <t>Bil Pengundi India</t>
  </si>
  <si>
    <t>% Pengundi India</t>
  </si>
  <si>
    <t>% Pengundi Lain-lain</t>
  </si>
  <si>
    <t>Bil Pengundi Lain-Lain</t>
  </si>
  <si>
    <t>Ranking % pengundi melayu</t>
  </si>
  <si>
    <t>Ranking bik pengundi</t>
  </si>
  <si>
    <t>Jumlah Pengundi (PRU15)</t>
  </si>
  <si>
    <t>Jumlah Pengundi (DPI Dis 2025)</t>
  </si>
  <si>
    <t>Anggaran TOC 68%</t>
  </si>
  <si>
    <t>SKT 51%</t>
  </si>
  <si>
    <t>BKC</t>
  </si>
  <si>
    <t>Status Culaan</t>
  </si>
  <si>
    <t>A - ATAS PAGAR</t>
  </si>
  <si>
    <t>B - BULAN</t>
  </si>
  <si>
    <t>C - CONDONG BULAN</t>
  </si>
  <si>
    <t>D - DACING</t>
  </si>
  <si>
    <t>E - CONDONG DACING</t>
  </si>
  <si>
    <t>F - GAGAL DIKESAN</t>
  </si>
  <si>
    <t>G - MATI</t>
  </si>
  <si>
    <t>H - BULAN LUAR KAWASAN</t>
  </si>
  <si>
    <t>? - TIADA CULAAN</t>
  </si>
  <si>
    <t>JUMLAH KECIL</t>
  </si>
  <si>
    <t>JUMLAH BESAR</t>
  </si>
  <si>
    <t>Jumlah Pengundi PAS (B+C+H)</t>
  </si>
  <si>
    <t>% cula pengundi PAS</t>
  </si>
  <si>
    <t>Ranking % cula</t>
  </si>
  <si>
    <t>Ranking SKT 51%</t>
  </si>
  <si>
    <t>Undi PN PRU15</t>
  </si>
  <si>
    <t>Perbezaan</t>
  </si>
  <si>
    <t>Ranking Perbezaan</t>
  </si>
  <si>
    <t>RANKING PENINGKATAN BILANGAN PENGUNDI MENGIKUT KERUSI DUN N9</t>
  </si>
  <si>
    <t>RANKING MAJORITI UNDI PN MENGIKUT KERUSI DUN PADA PRU15 (N9)</t>
  </si>
  <si>
    <t>RANKING PENGUNDI MELAYU MENGIKUT KERUSI DUN (DPI DISEMBER 2025)</t>
  </si>
  <si>
    <t>RANKING SKT 51% MENGIKUT KERUSI DUN (DPI DISEMBER 2025)</t>
  </si>
  <si>
    <t>RANKING BAKI KENA CARI (BKC) MENGIKUT KERUSI DUN (DPI DISEMBER 2025)</t>
  </si>
  <si>
    <t>RANKING PERATUS CULA PAS MENGIKUT KERUSI DUN (DPI DISEMBER 2025)</t>
  </si>
  <si>
    <t>Petunjuk:</t>
  </si>
  <si>
    <t>PN Menang</t>
  </si>
  <si>
    <t>BN Menang</t>
  </si>
  <si>
    <t>PH Menang</t>
  </si>
  <si>
    <t>Baki Kena Cari (BKC)</t>
  </si>
  <si>
    <t>N03 Sungai Lui</t>
  </si>
  <si>
    <t>N04 Klawang</t>
  </si>
  <si>
    <t>N02 Pertang</t>
  </si>
  <si>
    <t>N06 Palong</t>
  </si>
  <si>
    <t>N05 Serting</t>
  </si>
  <si>
    <t>N13 Sikamat</t>
  </si>
  <si>
    <t>N07 Jeram Padang</t>
  </si>
  <si>
    <t>N01 Chennah</t>
  </si>
  <si>
    <t>N19 Johol</t>
  </si>
  <si>
    <t>N32 Linggi</t>
  </si>
  <si>
    <t>N20 Labu</t>
  </si>
  <si>
    <t>N25 Paroi</t>
  </si>
  <si>
    <t>N33 Sri Tanjung</t>
  </si>
  <si>
    <t>N08 Bahau</t>
  </si>
  <si>
    <t>N14 Ampangan</t>
  </si>
  <si>
    <t>N09 Lenggeng</t>
  </si>
  <si>
    <t>N35 Gemencheh</t>
  </si>
  <si>
    <t>N17 Senaling</t>
  </si>
  <si>
    <t>N28 Kota</t>
  </si>
  <si>
    <t>N31 Bagan Pinang</t>
  </si>
  <si>
    <t>N15 Juasseh</t>
  </si>
  <si>
    <t>N16 Seri Menanti</t>
  </si>
  <si>
    <t>N26 Chembong</t>
  </si>
  <si>
    <t>N18 Pilah</t>
  </si>
  <si>
    <t>N10 Nilai</t>
  </si>
  <si>
    <t>N30 Lukut</t>
  </si>
  <si>
    <t>N12 Temiang</t>
  </si>
  <si>
    <t>N27 Rantau</t>
  </si>
  <si>
    <t>N34 Gemas</t>
  </si>
  <si>
    <t>N36 Repah</t>
  </si>
  <si>
    <t>N22 Rahang</t>
  </si>
  <si>
    <t>N29 Chuah</t>
  </si>
  <si>
    <t>N24 Seremban Jaya</t>
  </si>
  <si>
    <t>N21 Bukit Kepayang</t>
  </si>
  <si>
    <t>N23 Mambau</t>
  </si>
  <si>
    <t>N11 Lobak</t>
  </si>
  <si>
    <t>Jumlah Pengundi PAS (cula)</t>
  </si>
  <si>
    <t>DATA RINGKASAN DUN (10 JUN 2026)</t>
  </si>
  <si>
    <t>Majoriti PRU15</t>
  </si>
  <si>
    <t>Ranking PRU15</t>
  </si>
  <si>
    <t>Peratus Pengundi Melayu</t>
  </si>
  <si>
    <t>Markah SLU</t>
  </si>
  <si>
    <t>NA</t>
  </si>
  <si>
    <t>38.46% (P)</t>
  </si>
  <si>
    <t>77% (P)</t>
  </si>
  <si>
    <t>61.54% (P)</t>
  </si>
  <si>
    <t>Pengundi 
(DPI Dec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</si>
</sst>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0.0%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rgb="FF000000"/>
      <name val="Verdana"/>
      <family val="2"/>
    </font>
    <font>
      <b/>
      <sz val="8"/>
      <color rgb="FF006666"/>
      <name val="Verdana"/>
      <family val="2"/>
    </font>
    <font>
      <b/>
      <sz val="8"/>
      <color rgb="FF000000"/>
      <name val="Verdana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02122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Arial"/>
    </font>
    <font>
      <b/>
      <sz val="9"/>
      <color rgb="FFFFFFFF"/>
      <name val="Arial"/>
    </font>
    <font>
      <sz val="10"/>
      <color theme="1"/>
      <name val="Arial"/>
    </font>
    <font>
      <b/>
      <sz val="10"/>
      <color rgb="FF000000"/>
      <name val="Arial"/>
      <family val="2"/>
    </font>
    <font>
      <sz val="9"/>
      <color theme="1"/>
      <name val="Arial"/>
    </font>
    <font>
      <sz val="10"/>
      <color rgb="FF000000"/>
      <name val="Arial"/>
    </font>
    <font>
      <b/>
      <sz val="10"/>
      <name val="Arial"/>
      <family val="2"/>
    </font>
    <font>
      <b/>
      <sz val="10"/>
      <color rgb="FFFFFFFF"/>
      <name val="Arial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EAF0F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2E549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2E5496"/>
      </bottom>
      <diagonal/>
    </border>
    <border>
      <left style="thin">
        <color rgb="FF2E5496"/>
      </left>
      <right style="thin">
        <color rgb="FFBFBFBF"/>
      </right>
      <top style="thin">
        <color rgb="FF2E5496"/>
      </top>
      <bottom style="thin">
        <color rgb="FFBFBFBF"/>
      </bottom>
      <diagonal/>
    </border>
    <border>
      <left style="thin">
        <color rgb="FF2E549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5496"/>
      </left>
      <right style="thin">
        <color rgb="FFBFBFBF"/>
      </right>
      <top style="thin">
        <color rgb="FFBFBFBF"/>
      </top>
      <bottom style="thin">
        <color rgb="FF2E5496"/>
      </bottom>
      <diagonal/>
    </border>
    <border>
      <left style="thin">
        <color rgb="FFBFBFBF"/>
      </left>
      <right style="thin">
        <color rgb="FF2E5496"/>
      </right>
      <top style="thin">
        <color rgb="FF2E5496"/>
      </top>
      <bottom style="thin">
        <color rgb="FFBFBFBF"/>
      </bottom>
      <diagonal/>
    </border>
    <border>
      <left style="thin">
        <color rgb="FFBFBFBF"/>
      </left>
      <right style="thin">
        <color rgb="FF2E5496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2E5496"/>
      </right>
      <top style="thin">
        <color rgb="FFBFBFBF"/>
      </top>
      <bottom style="thin">
        <color rgb="FF2E5496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3" fontId="3" fillId="3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3" fontId="3" fillId="2" borderId="0" xfId="0" applyNumberFormat="1" applyFont="1" applyFill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3" fontId="5" fillId="2" borderId="0" xfId="0" applyNumberFormat="1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0" fontId="1" fillId="2" borderId="2" xfId="0" applyNumberFormat="1" applyFont="1" applyFill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10" fontId="1" fillId="9" borderId="2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 wrapText="1"/>
    </xf>
    <xf numFmtId="10" fontId="1" fillId="9" borderId="4" xfId="0" applyNumberFormat="1" applyFont="1" applyFill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9" borderId="2" xfId="0" applyNumberFormat="1" applyFont="1" applyFill="1" applyBorder="1" applyAlignment="1">
      <alignment horizontal="center" vertical="center"/>
    </xf>
    <xf numFmtId="3" fontId="1" fillId="9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9" borderId="2" xfId="0" applyNumberFormat="1" applyFont="1" applyFill="1" applyBorder="1" applyAlignment="1">
      <alignment horizontal="center" vertical="center"/>
    </xf>
    <xf numFmtId="164" fontId="1" fillId="9" borderId="4" xfId="0" applyNumberFormat="1" applyFont="1" applyFill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9" borderId="2" xfId="0" applyNumberFormat="1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  <xf numFmtId="10" fontId="1" fillId="9" borderId="4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9" borderId="2" xfId="0" applyNumberFormat="1" applyFont="1" applyFill="1" applyBorder="1" applyAlignment="1">
      <alignment horizontal="center" vertical="center" wrapText="1"/>
    </xf>
    <xf numFmtId="3" fontId="1" fillId="9" borderId="4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3" fontId="15" fillId="5" borderId="2" xfId="0" applyNumberFormat="1" applyFont="1" applyFill="1" applyBorder="1" applyAlignment="1">
      <alignment horizontal="center" vertical="center" wrapText="1"/>
    </xf>
    <xf numFmtId="165" fontId="15" fillId="5" borderId="2" xfId="0" applyNumberFormat="1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3" fontId="15" fillId="10" borderId="2" xfId="0" applyNumberFormat="1" applyFont="1" applyFill="1" applyBorder="1" applyAlignment="1">
      <alignment horizontal="center" vertical="center" wrapText="1"/>
    </xf>
    <xf numFmtId="165" fontId="15" fillId="10" borderId="2" xfId="0" applyNumberFormat="1" applyFont="1" applyFill="1" applyBorder="1" applyAlignment="1">
      <alignment horizontal="center" vertical="center" wrapText="1"/>
    </xf>
    <xf numFmtId="164" fontId="15" fillId="10" borderId="2" xfId="0" applyNumberFormat="1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3" fontId="15" fillId="6" borderId="2" xfId="0" applyNumberFormat="1" applyFont="1" applyFill="1" applyBorder="1" applyAlignment="1">
      <alignment horizontal="center" vertical="center" wrapText="1"/>
    </xf>
    <xf numFmtId="165" fontId="15" fillId="6" borderId="2" xfId="0" applyNumberFormat="1" applyFont="1" applyFill="1" applyBorder="1" applyAlignment="1">
      <alignment horizontal="center" vertical="center" wrapText="1"/>
    </xf>
    <xf numFmtId="164" fontId="15" fillId="6" borderId="2" xfId="0" applyNumberFormat="1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3" fontId="15" fillId="6" borderId="4" xfId="0" applyNumberFormat="1" applyFont="1" applyFill="1" applyBorder="1" applyAlignment="1">
      <alignment horizontal="center" vertical="center" wrapText="1"/>
    </xf>
    <xf numFmtId="165" fontId="15" fillId="6" borderId="4" xfId="0" applyNumberFormat="1" applyFont="1" applyFill="1" applyBorder="1" applyAlignment="1">
      <alignment horizontal="center" vertical="center" wrapText="1"/>
    </xf>
    <xf numFmtId="164" fontId="15" fillId="6" borderId="4" xfId="0" applyNumberFormat="1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0" fontId="15" fillId="5" borderId="2" xfId="0" applyNumberFormat="1" applyFont="1" applyFill="1" applyBorder="1" applyAlignment="1">
      <alignment horizontal="center" vertical="center" wrapText="1"/>
    </xf>
    <xf numFmtId="10" fontId="15" fillId="10" borderId="2" xfId="0" applyNumberFormat="1" applyFont="1" applyFill="1" applyBorder="1" applyAlignment="1">
      <alignment horizontal="center" vertical="center" wrapText="1"/>
    </xf>
    <xf numFmtId="10" fontId="15" fillId="6" borderId="2" xfId="0" applyNumberFormat="1" applyFont="1" applyFill="1" applyBorder="1" applyAlignment="1">
      <alignment horizontal="center" vertical="center" wrapText="1"/>
    </xf>
    <xf numFmtId="10" fontId="15" fillId="6" borderId="4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8" fillId="9" borderId="5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3" fontId="1" fillId="9" borderId="3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 wrapText="1"/>
    </xf>
    <xf numFmtId="164" fontId="1" fillId="9" borderId="1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20" fillId="0" borderId="0" xfId="0" applyFont="1"/>
    <xf numFmtId="0" fontId="22" fillId="0" borderId="12" xfId="0" applyFont="1" applyBorder="1" applyAlignment="1">
      <alignment horizontal="center"/>
    </xf>
    <xf numFmtId="0" fontId="22" fillId="12" borderId="13" xfId="0" applyFont="1" applyFill="1" applyBorder="1" applyAlignment="1">
      <alignment horizontal="center"/>
    </xf>
    <xf numFmtId="10" fontId="22" fillId="13" borderId="13" xfId="0" applyNumberFormat="1" applyFont="1" applyFill="1" applyBorder="1" applyAlignment="1">
      <alignment horizontal="center"/>
    </xf>
    <xf numFmtId="0" fontId="22" fillId="14" borderId="14" xfId="0" applyFont="1" applyFill="1" applyBorder="1" applyAlignment="1">
      <alignment horizontal="center"/>
    </xf>
    <xf numFmtId="0" fontId="22" fillId="13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13" borderId="13" xfId="0" applyFont="1" applyFill="1" applyBorder="1" applyAlignment="1">
      <alignment horizontal="center"/>
    </xf>
    <xf numFmtId="10" fontId="22" fillId="12" borderId="13" xfId="0" applyNumberFormat="1" applyFont="1" applyFill="1" applyBorder="1" applyAlignment="1">
      <alignment horizontal="center"/>
    </xf>
    <xf numFmtId="0" fontId="22" fillId="14" borderId="13" xfId="0" applyFont="1" applyFill="1" applyBorder="1" applyAlignment="1">
      <alignment horizontal="center"/>
    </xf>
    <xf numFmtId="9" fontId="22" fillId="12" borderId="13" xfId="0" applyNumberFormat="1" applyFont="1" applyFill="1" applyBorder="1" applyAlignment="1">
      <alignment horizontal="center"/>
    </xf>
    <xf numFmtId="10" fontId="22" fillId="14" borderId="13" xfId="0" applyNumberFormat="1" applyFont="1" applyFill="1" applyBorder="1" applyAlignment="1">
      <alignment horizontal="center"/>
    </xf>
    <xf numFmtId="10" fontId="22" fillId="13" borderId="14" xfId="0" applyNumberFormat="1" applyFont="1" applyFill="1" applyBorder="1" applyAlignment="1">
      <alignment horizontal="center"/>
    </xf>
    <xf numFmtId="0" fontId="22" fillId="5" borderId="0" xfId="0" applyFont="1" applyFill="1"/>
    <xf numFmtId="3" fontId="21" fillId="5" borderId="0" xfId="0" applyNumberFormat="1" applyFont="1" applyFill="1" applyAlignment="1">
      <alignment horizontal="center"/>
    </xf>
    <xf numFmtId="164" fontId="22" fillId="5" borderId="0" xfId="0" applyNumberFormat="1" applyFont="1" applyFill="1" applyAlignment="1">
      <alignment horizontal="center"/>
    </xf>
    <xf numFmtId="1" fontId="22" fillId="5" borderId="0" xfId="0" applyNumberFormat="1" applyFont="1" applyFill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10" borderId="0" xfId="0" applyFont="1" applyFill="1"/>
    <xf numFmtId="3" fontId="21" fillId="10" borderId="0" xfId="0" applyNumberFormat="1" applyFont="1" applyFill="1" applyAlignment="1">
      <alignment horizontal="center"/>
    </xf>
    <xf numFmtId="164" fontId="19" fillId="10" borderId="0" xfId="0" applyNumberFormat="1" applyFont="1" applyFill="1" applyAlignment="1">
      <alignment horizontal="center"/>
    </xf>
    <xf numFmtId="1" fontId="22" fillId="10" borderId="0" xfId="0" applyNumberFormat="1" applyFont="1" applyFill="1" applyAlignment="1">
      <alignment horizontal="center"/>
    </xf>
    <xf numFmtId="0" fontId="22" fillId="6" borderId="0" xfId="0" applyFont="1" applyFill="1"/>
    <xf numFmtId="3" fontId="21" fillId="6" borderId="0" xfId="0" applyNumberFormat="1" applyFont="1" applyFill="1" applyAlignment="1">
      <alignment horizontal="center"/>
    </xf>
    <xf numFmtId="164" fontId="19" fillId="6" borderId="0" xfId="0" applyNumberFormat="1" applyFont="1" applyFill="1" applyAlignment="1">
      <alignment horizontal="center"/>
    </xf>
    <xf numFmtId="1" fontId="22" fillId="6" borderId="0" xfId="0" applyNumberFormat="1" applyFont="1" applyFill="1" applyAlignment="1">
      <alignment horizontal="center"/>
    </xf>
    <xf numFmtId="0" fontId="22" fillId="5" borderId="16" xfId="0" applyFont="1" applyFill="1" applyBorder="1"/>
    <xf numFmtId="0" fontId="22" fillId="5" borderId="17" xfId="0" applyFont="1" applyFill="1" applyBorder="1"/>
    <xf numFmtId="3" fontId="21" fillId="5" borderId="17" xfId="0" applyNumberFormat="1" applyFont="1" applyFill="1" applyBorder="1" applyAlignment="1">
      <alignment horizontal="center"/>
    </xf>
    <xf numFmtId="164" fontId="22" fillId="5" borderId="17" xfId="0" applyNumberFormat="1" applyFon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165" fontId="22" fillId="0" borderId="17" xfId="0" applyNumberFormat="1" applyFont="1" applyBorder="1" applyAlignment="1">
      <alignment horizontal="center"/>
    </xf>
    <xf numFmtId="0" fontId="22" fillId="5" borderId="18" xfId="0" applyFont="1" applyFill="1" applyBorder="1"/>
    <xf numFmtId="0" fontId="22" fillId="5" borderId="19" xfId="0" applyFont="1" applyFill="1" applyBorder="1"/>
    <xf numFmtId="0" fontId="22" fillId="5" borderId="20" xfId="0" applyFont="1" applyFill="1" applyBorder="1"/>
    <xf numFmtId="3" fontId="21" fillId="5" borderId="20" xfId="0" applyNumberFormat="1" applyFont="1" applyFill="1" applyBorder="1" applyAlignment="1">
      <alignment horizontal="center"/>
    </xf>
    <xf numFmtId="164" fontId="22" fillId="5" borderId="20" xfId="0" applyNumberFormat="1" applyFont="1" applyFill="1" applyBorder="1" applyAlignment="1">
      <alignment horizontal="center"/>
    </xf>
    <xf numFmtId="1" fontId="22" fillId="5" borderId="20" xfId="0" applyNumberFormat="1" applyFont="1" applyFill="1" applyBorder="1" applyAlignment="1">
      <alignment horizontal="center"/>
    </xf>
    <xf numFmtId="165" fontId="22" fillId="0" borderId="20" xfId="0" applyNumberFormat="1" applyFont="1" applyBorder="1" applyAlignment="1">
      <alignment horizontal="center"/>
    </xf>
    <xf numFmtId="0" fontId="22" fillId="10" borderId="16" xfId="0" applyFont="1" applyFill="1" applyBorder="1"/>
    <xf numFmtId="0" fontId="22" fillId="10" borderId="17" xfId="0" applyFont="1" applyFill="1" applyBorder="1"/>
    <xf numFmtId="3" fontId="21" fillId="10" borderId="17" xfId="0" applyNumberFormat="1" applyFont="1" applyFill="1" applyBorder="1" applyAlignment="1">
      <alignment horizontal="center"/>
    </xf>
    <xf numFmtId="164" fontId="19" fillId="10" borderId="17" xfId="0" applyNumberFormat="1" applyFont="1" applyFill="1" applyBorder="1" applyAlignment="1">
      <alignment horizontal="center"/>
    </xf>
    <xf numFmtId="1" fontId="22" fillId="10" borderId="17" xfId="0" applyNumberFormat="1" applyFont="1" applyFill="1" applyBorder="1" applyAlignment="1">
      <alignment horizontal="center"/>
    </xf>
    <xf numFmtId="0" fontId="22" fillId="10" borderId="18" xfId="0" applyFont="1" applyFill="1" applyBorder="1"/>
    <xf numFmtId="0" fontId="22" fillId="6" borderId="18" xfId="0" applyFont="1" applyFill="1" applyBorder="1"/>
    <xf numFmtId="0" fontId="22" fillId="10" borderId="19" xfId="0" applyFont="1" applyFill="1" applyBorder="1"/>
    <xf numFmtId="0" fontId="22" fillId="10" borderId="20" xfId="0" applyFont="1" applyFill="1" applyBorder="1"/>
    <xf numFmtId="3" fontId="21" fillId="10" borderId="20" xfId="0" applyNumberFormat="1" applyFont="1" applyFill="1" applyBorder="1" applyAlignment="1">
      <alignment horizontal="center"/>
    </xf>
    <xf numFmtId="164" fontId="19" fillId="10" borderId="20" xfId="0" applyNumberFormat="1" applyFont="1" applyFill="1" applyBorder="1" applyAlignment="1">
      <alignment horizontal="center"/>
    </xf>
    <xf numFmtId="1" fontId="22" fillId="10" borderId="20" xfId="0" applyNumberFormat="1" applyFont="1" applyFill="1" applyBorder="1" applyAlignment="1">
      <alignment horizontal="center"/>
    </xf>
    <xf numFmtId="0" fontId="22" fillId="6" borderId="16" xfId="0" applyFont="1" applyFill="1" applyBorder="1"/>
    <xf numFmtId="0" fontId="22" fillId="6" borderId="17" xfId="0" applyFont="1" applyFill="1" applyBorder="1"/>
    <xf numFmtId="3" fontId="21" fillId="6" borderId="17" xfId="0" applyNumberFormat="1" applyFont="1" applyFill="1" applyBorder="1" applyAlignment="1">
      <alignment horizontal="center"/>
    </xf>
    <xf numFmtId="164" fontId="19" fillId="6" borderId="17" xfId="0" applyNumberFormat="1" applyFont="1" applyFill="1" applyBorder="1" applyAlignment="1">
      <alignment horizontal="center"/>
    </xf>
    <xf numFmtId="1" fontId="22" fillId="6" borderId="17" xfId="0" applyNumberFormat="1" applyFont="1" applyFill="1" applyBorder="1" applyAlignment="1">
      <alignment horizontal="center"/>
    </xf>
    <xf numFmtId="0" fontId="22" fillId="6" borderId="19" xfId="0" applyFont="1" applyFill="1" applyBorder="1"/>
    <xf numFmtId="0" fontId="22" fillId="6" borderId="20" xfId="0" applyFont="1" applyFill="1" applyBorder="1"/>
    <xf numFmtId="3" fontId="21" fillId="6" borderId="20" xfId="0" applyNumberFormat="1" applyFont="1" applyFill="1" applyBorder="1" applyAlignment="1">
      <alignment horizontal="center"/>
    </xf>
    <xf numFmtId="164" fontId="19" fillId="6" borderId="20" xfId="0" applyNumberFormat="1" applyFont="1" applyFill="1" applyBorder="1" applyAlignment="1">
      <alignment horizontal="center"/>
    </xf>
    <xf numFmtId="1" fontId="22" fillId="6" borderId="20" xfId="0" applyNumberFormat="1" applyFont="1" applyFill="1" applyBorder="1" applyAlignment="1">
      <alignment horizontal="center"/>
    </xf>
    <xf numFmtId="0" fontId="18" fillId="11" borderId="15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6"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dirty="0">
                <a:solidFill>
                  <a:schemeClr val="tx1"/>
                </a:solidFill>
                <a:latin typeface="Calibri"/>
                <a:ea typeface="Calibri"/>
                <a:cs typeface="Calibri"/>
              </a:rPr>
              <a:t>CULA PENGUNDI PAS  vs SKT 51%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'(7) Cula vs SKT'!$D$1</c:f>
              <c:strCache>
                <c:ptCount val="1"/>
                <c:pt idx="0">
                  <c:v>Jumlah Pengundi PAS (cula)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'(7) Cula vs SKT'!$C$2:$C$37</c:f>
              <c:strCache>
                <c:ptCount val="36"/>
                <c:pt idx="0">
                  <c:v>N03 Sungai Lui</c:v>
                </c:pt>
                <c:pt idx="1">
                  <c:v>N04 Klawang</c:v>
                </c:pt>
                <c:pt idx="2">
                  <c:v>N02 Pertang</c:v>
                </c:pt>
                <c:pt idx="3">
                  <c:v>N17 Senaling</c:v>
                </c:pt>
                <c:pt idx="4">
                  <c:v>N16 Seri Menanti</c:v>
                </c:pt>
                <c:pt idx="5">
                  <c:v>N19 Johol</c:v>
                </c:pt>
                <c:pt idx="6">
                  <c:v>N01 Chennah</c:v>
                </c:pt>
                <c:pt idx="7">
                  <c:v>N12 Temiang</c:v>
                </c:pt>
                <c:pt idx="8">
                  <c:v>N15 Juasseh</c:v>
                </c:pt>
                <c:pt idx="9">
                  <c:v>N07 Jeram Padang</c:v>
                </c:pt>
                <c:pt idx="10">
                  <c:v>N29 Chuah</c:v>
                </c:pt>
                <c:pt idx="11">
                  <c:v>N28 Kota</c:v>
                </c:pt>
                <c:pt idx="12">
                  <c:v>N06 Palong</c:v>
                </c:pt>
                <c:pt idx="13">
                  <c:v>N18 Pilah</c:v>
                </c:pt>
                <c:pt idx="14">
                  <c:v>N33 Sri Tanjung</c:v>
                </c:pt>
                <c:pt idx="15">
                  <c:v>N32 Linggi</c:v>
                </c:pt>
                <c:pt idx="16">
                  <c:v>N14 Ampangan</c:v>
                </c:pt>
                <c:pt idx="17">
                  <c:v>N22 Rahang</c:v>
                </c:pt>
                <c:pt idx="18">
                  <c:v>N05 Serting</c:v>
                </c:pt>
                <c:pt idx="19">
                  <c:v>N08 Bahau</c:v>
                </c:pt>
                <c:pt idx="20">
                  <c:v>N35 Gemencheh</c:v>
                </c:pt>
                <c:pt idx="21">
                  <c:v>N11 Lobak</c:v>
                </c:pt>
                <c:pt idx="22">
                  <c:v>N26 Chembong</c:v>
                </c:pt>
                <c:pt idx="23">
                  <c:v>N09 Lenggeng</c:v>
                </c:pt>
                <c:pt idx="24">
                  <c:v>N31 Bagan Pinang</c:v>
                </c:pt>
                <c:pt idx="25">
                  <c:v>N30 Lukut</c:v>
                </c:pt>
                <c:pt idx="26">
                  <c:v>N36 Repah</c:v>
                </c:pt>
                <c:pt idx="27">
                  <c:v>N13 Sikamat</c:v>
                </c:pt>
                <c:pt idx="28">
                  <c:v>N20 Labu</c:v>
                </c:pt>
                <c:pt idx="29">
                  <c:v>N34 Gemas</c:v>
                </c:pt>
                <c:pt idx="30">
                  <c:v>N23 Mambau</c:v>
                </c:pt>
                <c:pt idx="31">
                  <c:v>N24 Seremban Jaya</c:v>
                </c:pt>
                <c:pt idx="32">
                  <c:v>N27 Rantau</c:v>
                </c:pt>
                <c:pt idx="33">
                  <c:v>N10 Nilai</c:v>
                </c:pt>
                <c:pt idx="34">
                  <c:v>N21 Bukit Kepayang</c:v>
                </c:pt>
                <c:pt idx="35">
                  <c:v>N25 Paroi</c:v>
                </c:pt>
              </c:strCache>
            </c:strRef>
          </c:cat>
          <c:val>
            <c:numRef>
              <c:f>'(7) Cula vs SKT'!$D$2:$D$37</c:f>
              <c:numCache>
                <c:formatCode>#,##0</c:formatCode>
                <c:ptCount val="36"/>
                <c:pt idx="0">
                  <c:v>4880</c:v>
                </c:pt>
                <c:pt idx="1">
                  <c:v>2346</c:v>
                </c:pt>
                <c:pt idx="2">
                  <c:v>1421</c:v>
                </c:pt>
                <c:pt idx="3">
                  <c:v>263</c:v>
                </c:pt>
                <c:pt idx="4">
                  <c:v>229</c:v>
                </c:pt>
                <c:pt idx="5">
                  <c:v>713</c:v>
                </c:pt>
                <c:pt idx="6">
                  <c:v>923</c:v>
                </c:pt>
                <c:pt idx="7">
                  <c:v>223</c:v>
                </c:pt>
                <c:pt idx="8">
                  <c:v>330</c:v>
                </c:pt>
                <c:pt idx="9">
                  <c:v>1068</c:v>
                </c:pt>
                <c:pt idx="10">
                  <c:v>103</c:v>
                </c:pt>
                <c:pt idx="11">
                  <c:v>435</c:v>
                </c:pt>
                <c:pt idx="12">
                  <c:v>2551</c:v>
                </c:pt>
                <c:pt idx="13">
                  <c:v>347</c:v>
                </c:pt>
                <c:pt idx="14">
                  <c:v>802</c:v>
                </c:pt>
                <c:pt idx="15">
                  <c:v>1128</c:v>
                </c:pt>
                <c:pt idx="16">
                  <c:v>805</c:v>
                </c:pt>
                <c:pt idx="17">
                  <c:v>158</c:v>
                </c:pt>
                <c:pt idx="18">
                  <c:v>3273</c:v>
                </c:pt>
                <c:pt idx="19">
                  <c:v>1039</c:v>
                </c:pt>
                <c:pt idx="20">
                  <c:v>664</c:v>
                </c:pt>
                <c:pt idx="21">
                  <c:v>31</c:v>
                </c:pt>
                <c:pt idx="22">
                  <c:v>534</c:v>
                </c:pt>
                <c:pt idx="23">
                  <c:v>1010</c:v>
                </c:pt>
                <c:pt idx="24">
                  <c:v>677</c:v>
                </c:pt>
                <c:pt idx="25">
                  <c:v>486</c:v>
                </c:pt>
                <c:pt idx="26">
                  <c:v>239</c:v>
                </c:pt>
                <c:pt idx="27">
                  <c:v>2249</c:v>
                </c:pt>
                <c:pt idx="28">
                  <c:v>1657</c:v>
                </c:pt>
                <c:pt idx="29">
                  <c:v>350</c:v>
                </c:pt>
                <c:pt idx="30">
                  <c:v>66</c:v>
                </c:pt>
                <c:pt idx="31">
                  <c:v>130</c:v>
                </c:pt>
                <c:pt idx="32">
                  <c:v>419</c:v>
                </c:pt>
                <c:pt idx="33">
                  <c:v>873</c:v>
                </c:pt>
                <c:pt idx="34">
                  <c:v>122</c:v>
                </c:pt>
                <c:pt idx="35">
                  <c:v>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C-4E60-99A6-CDC534EB0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122032"/>
        <c:axId val="1315115312"/>
      </c:barChart>
      <c:lineChart>
        <c:grouping val="standard"/>
        <c:varyColors val="0"/>
        <c:ser>
          <c:idx val="1"/>
          <c:order val="1"/>
          <c:tx>
            <c:strRef>
              <c:f>'(7) Cula vs SKT'!$E$1</c:f>
              <c:strCache>
                <c:ptCount val="1"/>
                <c:pt idx="0">
                  <c:v>SKT 51%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'(7) Cula vs SKT'!$C$2:$C$37</c:f>
              <c:strCache>
                <c:ptCount val="36"/>
                <c:pt idx="0">
                  <c:v>N03 Sungai Lui</c:v>
                </c:pt>
                <c:pt idx="1">
                  <c:v>N04 Klawang</c:v>
                </c:pt>
                <c:pt idx="2">
                  <c:v>N02 Pertang</c:v>
                </c:pt>
                <c:pt idx="3">
                  <c:v>N17 Senaling</c:v>
                </c:pt>
                <c:pt idx="4">
                  <c:v>N16 Seri Menanti</c:v>
                </c:pt>
                <c:pt idx="5">
                  <c:v>N19 Johol</c:v>
                </c:pt>
                <c:pt idx="6">
                  <c:v>N01 Chennah</c:v>
                </c:pt>
                <c:pt idx="7">
                  <c:v>N12 Temiang</c:v>
                </c:pt>
                <c:pt idx="8">
                  <c:v>N15 Juasseh</c:v>
                </c:pt>
                <c:pt idx="9">
                  <c:v>N07 Jeram Padang</c:v>
                </c:pt>
                <c:pt idx="10">
                  <c:v>N29 Chuah</c:v>
                </c:pt>
                <c:pt idx="11">
                  <c:v>N28 Kota</c:v>
                </c:pt>
                <c:pt idx="12">
                  <c:v>N06 Palong</c:v>
                </c:pt>
                <c:pt idx="13">
                  <c:v>N18 Pilah</c:v>
                </c:pt>
                <c:pt idx="14">
                  <c:v>N33 Sri Tanjung</c:v>
                </c:pt>
                <c:pt idx="15">
                  <c:v>N32 Linggi</c:v>
                </c:pt>
                <c:pt idx="16">
                  <c:v>N14 Ampangan</c:v>
                </c:pt>
                <c:pt idx="17">
                  <c:v>N22 Rahang</c:v>
                </c:pt>
                <c:pt idx="18">
                  <c:v>N05 Serting</c:v>
                </c:pt>
                <c:pt idx="19">
                  <c:v>N08 Bahau</c:v>
                </c:pt>
                <c:pt idx="20">
                  <c:v>N35 Gemencheh</c:v>
                </c:pt>
                <c:pt idx="21">
                  <c:v>N11 Lobak</c:v>
                </c:pt>
                <c:pt idx="22">
                  <c:v>N26 Chembong</c:v>
                </c:pt>
                <c:pt idx="23">
                  <c:v>N09 Lenggeng</c:v>
                </c:pt>
                <c:pt idx="24">
                  <c:v>N31 Bagan Pinang</c:v>
                </c:pt>
                <c:pt idx="25">
                  <c:v>N30 Lukut</c:v>
                </c:pt>
                <c:pt idx="26">
                  <c:v>N36 Repah</c:v>
                </c:pt>
                <c:pt idx="27">
                  <c:v>N13 Sikamat</c:v>
                </c:pt>
                <c:pt idx="28">
                  <c:v>N20 Labu</c:v>
                </c:pt>
                <c:pt idx="29">
                  <c:v>N34 Gemas</c:v>
                </c:pt>
                <c:pt idx="30">
                  <c:v>N23 Mambau</c:v>
                </c:pt>
                <c:pt idx="31">
                  <c:v>N24 Seremban Jaya</c:v>
                </c:pt>
                <c:pt idx="32">
                  <c:v>N27 Rantau</c:v>
                </c:pt>
                <c:pt idx="33">
                  <c:v>N10 Nilai</c:v>
                </c:pt>
                <c:pt idx="34">
                  <c:v>N21 Bukit Kepayang</c:v>
                </c:pt>
                <c:pt idx="35">
                  <c:v>N25 Paroi</c:v>
                </c:pt>
              </c:strCache>
            </c:strRef>
          </c:cat>
          <c:val>
            <c:numRef>
              <c:f>'(7) Cula vs SKT'!$E$2:$E$37</c:f>
              <c:numCache>
                <c:formatCode>#,##0</c:formatCode>
                <c:ptCount val="36"/>
                <c:pt idx="0">
                  <c:v>6836</c:v>
                </c:pt>
                <c:pt idx="1">
                  <c:v>4623</c:v>
                </c:pt>
                <c:pt idx="2">
                  <c:v>4467</c:v>
                </c:pt>
                <c:pt idx="3">
                  <c:v>3438</c:v>
                </c:pt>
                <c:pt idx="4">
                  <c:v>3503</c:v>
                </c:pt>
                <c:pt idx="5">
                  <c:v>4286</c:v>
                </c:pt>
                <c:pt idx="6">
                  <c:v>5003</c:v>
                </c:pt>
                <c:pt idx="7">
                  <c:v>4500</c:v>
                </c:pt>
                <c:pt idx="8">
                  <c:v>4740</c:v>
                </c:pt>
                <c:pt idx="9">
                  <c:v>5736</c:v>
                </c:pt>
                <c:pt idx="10">
                  <c:v>5251</c:v>
                </c:pt>
                <c:pt idx="11">
                  <c:v>5802</c:v>
                </c:pt>
                <c:pt idx="12">
                  <c:v>8167</c:v>
                </c:pt>
                <c:pt idx="13">
                  <c:v>6230</c:v>
                </c:pt>
                <c:pt idx="14">
                  <c:v>6792</c:v>
                </c:pt>
                <c:pt idx="15">
                  <c:v>7202</c:v>
                </c:pt>
                <c:pt idx="16">
                  <c:v>7400</c:v>
                </c:pt>
                <c:pt idx="17">
                  <c:v>6800</c:v>
                </c:pt>
                <c:pt idx="18">
                  <c:v>10610</c:v>
                </c:pt>
                <c:pt idx="19">
                  <c:v>9000</c:v>
                </c:pt>
                <c:pt idx="20">
                  <c:v>8628</c:v>
                </c:pt>
                <c:pt idx="21">
                  <c:v>8025</c:v>
                </c:pt>
                <c:pt idx="22">
                  <c:v>9169</c:v>
                </c:pt>
                <c:pt idx="23">
                  <c:v>9943</c:v>
                </c:pt>
                <c:pt idx="24">
                  <c:v>9685</c:v>
                </c:pt>
                <c:pt idx="25">
                  <c:v>9714</c:v>
                </c:pt>
                <c:pt idx="26">
                  <c:v>9651</c:v>
                </c:pt>
                <c:pt idx="27">
                  <c:v>11751</c:v>
                </c:pt>
                <c:pt idx="28">
                  <c:v>11297</c:v>
                </c:pt>
                <c:pt idx="29">
                  <c:v>10139</c:v>
                </c:pt>
                <c:pt idx="30">
                  <c:v>10514</c:v>
                </c:pt>
                <c:pt idx="31">
                  <c:v>11409</c:v>
                </c:pt>
                <c:pt idx="32">
                  <c:v>12012</c:v>
                </c:pt>
                <c:pt idx="33">
                  <c:v>15775</c:v>
                </c:pt>
                <c:pt idx="34">
                  <c:v>17079</c:v>
                </c:pt>
                <c:pt idx="35">
                  <c:v>22397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C-4E60-99A6-CDC534EB0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122032"/>
        <c:axId val="1315115312"/>
      </c:lineChart>
      <c:catAx>
        <c:axId val="131512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15312"/>
        <c:crosses val="autoZero"/>
        <c:auto val="1"/>
        <c:lblAlgn val="ctr"/>
        <c:lblOffset val="100"/>
        <c:noMultiLvlLbl val="0"/>
      </c:catAx>
      <c:valAx>
        <c:axId val="13151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2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138707</xdr:colOff>
      <xdr:row>8</xdr:row>
      <xdr:rowOff>99786</xdr:rowOff>
    </xdr:from>
    <xdr:to>
      <xdr:col>20</xdr:col>
      <xdr:colOff>553358</xdr:colOff>
      <xdr:row>27</xdr:row>
      <xdr:rowOff>153286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AADCE-E89D-6E5E-1031-F0722F2B8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2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03CFC2-673C-4BFB-8EB4-FA105DD296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79ae8dc-2299-48e2-bd44-09d75075a503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D28D-DB23-4635-852E-BF6D91FBEC51}">
  <dimension ref="A2:H40"/>
  <sheetViews>
    <sheetView tabSelected="1" zoomScale="120" zoomScaleNormal="120" workbookViewId="0">
      <selection activeCell="J10" sqref="J10"/>
    </sheetView>
  </sheetViews>
  <sheetFormatPr defaultRowHeight="14.5" x14ac:dyDescent="0.35"/>
  <cols>
    <col min="2" max="2" width="8.1796875" customWidth="1"/>
    <col min="3" max="3" width="14.7265625" customWidth="1"/>
    <col min="4" max="4" width="19.08984375" customWidth="1"/>
    <col min="5" max="6" width="17.26953125" customWidth="1"/>
    <col min="7" max="7" width="23.6328125" customWidth="1"/>
    <col min="8" max="8" width="14.453125" customWidth="1"/>
  </cols>
  <sheetData>
    <row r="2" spans="1:8" ht="17" x14ac:dyDescent="0.4">
      <c r="B2" s="104" t="s">
        <v>211</v>
      </c>
    </row>
    <row r="4" spans="1:8" ht="29.5" thickBot="1" x14ac:dyDescent="0.4">
      <c r="A4" s="167"/>
      <c r="B4" s="165" t="s">
        <v>0</v>
      </c>
      <c r="C4" s="165" t="s">
        <v>1</v>
      </c>
      <c r="D4" s="166" t="s">
        <v>220</v>
      </c>
      <c r="E4" s="165" t="s">
        <v>212</v>
      </c>
      <c r="F4" s="165" t="s">
        <v>213</v>
      </c>
      <c r="G4" s="165" t="s">
        <v>214</v>
      </c>
      <c r="H4" s="165" t="s">
        <v>215</v>
      </c>
    </row>
    <row r="5" spans="1:8" x14ac:dyDescent="0.35">
      <c r="B5" s="130" t="s">
        <v>55</v>
      </c>
      <c r="C5" s="131" t="str">
        <f>INDEX('(2) Pengundi &amp; % Melayu'!$C$5:$C$40,MATCH($B5,'(2) Pengundi &amp; % Melayu'!$B$5:$B$40,0))</f>
        <v>Paroi</v>
      </c>
      <c r="D5" s="132">
        <f>INDEX('(2) Pengundi &amp; % Melayu'!$D$5:$D$40,MATCH($B5,'(2) Pengundi &amp; % Melayu'!$B$5:$B$40,0))</f>
        <v>64582</v>
      </c>
      <c r="E5" s="133">
        <f>INDEX('(1) Majoriti'!$I$4:$I$39,MATCH($B5,'(1) Majoriti'!$B$4:$B$39,0))</f>
        <v>5539</v>
      </c>
      <c r="F5" s="134">
        <f>INDEX('(1) Majoriti'!$J$4:$J$39,MATCH($B5,'(1) Majoriti'!$B$4:$B$39,0))</f>
        <v>1</v>
      </c>
      <c r="G5" s="135">
        <f>INDEX('(2) Pengundi &amp; % Melayu'!$M$5:$M$40,MATCH($B5,'(2) Pengundi &amp; % Melayu'!$B$5:$B$40,0))</f>
        <v>0.79901520547520977</v>
      </c>
      <c r="H5" s="105" t="s">
        <v>216</v>
      </c>
    </row>
    <row r="6" spans="1:8" x14ac:dyDescent="0.35">
      <c r="B6" s="136" t="s">
        <v>67</v>
      </c>
      <c r="C6" s="117" t="str">
        <f>INDEX('(2) Pengundi &amp; % Melayu'!$C$5:$C$40,MATCH($B6,'(2) Pengundi &amp; % Melayu'!$B$5:$B$40,0))</f>
        <v>Bagan Pinang</v>
      </c>
      <c r="D6" s="118">
        <f>INDEX('(2) Pengundi &amp; % Melayu'!$D$5:$D$40,MATCH($B6,'(2) Pengundi &amp; % Melayu'!$B$5:$B$40,0))</f>
        <v>27926</v>
      </c>
      <c r="E6" s="119">
        <f>INDEX('(1) Majoriti'!$I$4:$I$39,MATCH($B6,'(1) Majoriti'!$B$4:$B$39,0))</f>
        <v>3426</v>
      </c>
      <c r="F6" s="120">
        <f>INDEX('(1) Majoriti'!$J$4:$J$39,MATCH($B6,'(1) Majoriti'!$B$4:$B$39,0))</f>
        <v>2</v>
      </c>
      <c r="G6" s="121">
        <f>INDEX('(2) Pengundi &amp; % Melayu'!$M$5:$M$40,MATCH($B6,'(2) Pengundi &amp; % Melayu'!$B$5:$B$40,0))</f>
        <v>0.79008808995201607</v>
      </c>
      <c r="H6" s="106" t="s">
        <v>218</v>
      </c>
    </row>
    <row r="7" spans="1:8" x14ac:dyDescent="0.35">
      <c r="B7" s="136" t="s">
        <v>73</v>
      </c>
      <c r="C7" s="117" t="str">
        <f>INDEX('(2) Pengundi &amp; % Melayu'!$C$5:$C$40,MATCH($B7,'(2) Pengundi &amp; % Melayu'!$B$5:$B$40,0))</f>
        <v>Gemas</v>
      </c>
      <c r="D7" s="118">
        <f>INDEX('(2) Pengundi &amp; % Melayu'!$D$5:$D$40,MATCH($B7,'(2) Pengundi &amp; % Melayu'!$B$5:$B$40,0))</f>
        <v>29235</v>
      </c>
      <c r="E7" s="119">
        <f>INDEX('(1) Majoriti'!$I$4:$I$39,MATCH($B7,'(1) Majoriti'!$B$4:$B$39,0))</f>
        <v>3120</v>
      </c>
      <c r="F7" s="120">
        <f>INDEX('(1) Majoriti'!$J$4:$J$39,MATCH($B7,'(1) Majoriti'!$B$4:$B$39,0))</f>
        <v>3</v>
      </c>
      <c r="G7" s="121">
        <f>INDEX('(2) Pengundi &amp; % Melayu'!$M$5:$M$40,MATCH($B7,'(2) Pengundi &amp; % Melayu'!$B$5:$B$40,0))</f>
        <v>0.85004275696938603</v>
      </c>
      <c r="H7" s="107">
        <v>0.53849999999999998</v>
      </c>
    </row>
    <row r="8" spans="1:8" x14ac:dyDescent="0.35">
      <c r="B8" s="136" t="s">
        <v>45</v>
      </c>
      <c r="C8" s="117" t="str">
        <f>INDEX('(2) Pengundi &amp; % Melayu'!$C$5:$C$40,MATCH($B8,'(2) Pengundi &amp; % Melayu'!$B$5:$B$40,0))</f>
        <v>Labu</v>
      </c>
      <c r="D8" s="118">
        <f>INDEX('(2) Pengundi &amp; % Melayu'!$D$5:$D$40,MATCH($B8,'(2) Pengundi &amp; % Melayu'!$B$5:$B$40,0))</f>
        <v>32575</v>
      </c>
      <c r="E8" s="119">
        <f>INDEX('(1) Majoriti'!$I$4:$I$39,MATCH($B8,'(1) Majoriti'!$B$4:$B$39,0))</f>
        <v>1640</v>
      </c>
      <c r="F8" s="120">
        <f>INDEX('(1) Majoriti'!$J$4:$J$39,MATCH($B8,'(1) Majoriti'!$B$4:$B$39,0))</f>
        <v>4</v>
      </c>
      <c r="G8" s="121">
        <f>INDEX('(2) Pengundi &amp; % Melayu'!$M$5:$M$40,MATCH($B8,'(2) Pengundi &amp; % Melayu'!$B$5:$B$40,0))</f>
        <v>0.79214121258633918</v>
      </c>
      <c r="H8" s="107">
        <v>0.69230000000000003</v>
      </c>
    </row>
    <row r="9" spans="1:8" ht="15" thickBot="1" x14ac:dyDescent="0.4">
      <c r="B9" s="137" t="s">
        <v>15</v>
      </c>
      <c r="C9" s="138" t="str">
        <f>INDEX('(2) Pengundi &amp; % Melayu'!$C$5:$C$40,MATCH($B9,'(2) Pengundi &amp; % Melayu'!$B$5:$B$40,0))</f>
        <v>Serting</v>
      </c>
      <c r="D9" s="139">
        <f>INDEX('(2) Pengundi &amp; % Melayu'!$D$5:$D$40,MATCH($B9,'(2) Pengundi &amp; % Melayu'!$B$5:$B$40,0))</f>
        <v>30593</v>
      </c>
      <c r="E9" s="140">
        <f>INDEX('(1) Majoriti'!$I$4:$I$39,MATCH($B9,'(1) Majoriti'!$B$4:$B$39,0))</f>
        <v>843</v>
      </c>
      <c r="F9" s="141">
        <f>INDEX('(1) Majoriti'!$J$4:$J$39,MATCH($B9,'(1) Majoriti'!$B$4:$B$39,0))</f>
        <v>5</v>
      </c>
      <c r="G9" s="142">
        <f>INDEX('(2) Pengundi &amp; % Melayu'!$M$5:$M$40,MATCH($B9,'(2) Pengundi &amp; % Melayu'!$B$5:$B$40,0))</f>
        <v>0.7950184682770568</v>
      </c>
      <c r="H9" s="108" t="s">
        <v>217</v>
      </c>
    </row>
    <row r="10" spans="1:8" x14ac:dyDescent="0.35">
      <c r="B10" s="143" t="s">
        <v>35</v>
      </c>
      <c r="C10" s="144" t="str">
        <f>INDEX('(2) Pengundi &amp; % Melayu'!$C$5:$C$40,MATCH($B10,'(2) Pengundi &amp; % Melayu'!$B$5:$B$40,0))</f>
        <v>Juasseh</v>
      </c>
      <c r="D10" s="145">
        <f>INDEX('(2) Pengundi &amp; % Melayu'!$D$5:$D$40,MATCH($B10,'(2) Pengundi &amp; % Melayu'!$B$5:$B$40,0))</f>
        <v>13669</v>
      </c>
      <c r="E10" s="146">
        <f>INDEX('(1) Majoriti'!$I$4:$I$39,MATCH($B10,'(1) Majoriti'!$B$4:$B$39,0))</f>
        <v>-78</v>
      </c>
      <c r="F10" s="147">
        <f>INDEX('(1) Majoriti'!$J$4:$J$39,MATCH($B10,'(1) Majoriti'!$B$4:$B$39,0))</f>
        <v>6</v>
      </c>
      <c r="G10" s="135">
        <f>INDEX('(2) Pengundi &amp; % Melayu'!$M$5:$M$40,MATCH($B10,'(2) Pengundi &amp; % Melayu'!$B$5:$B$40,0))</f>
        <v>0.82741970883019977</v>
      </c>
      <c r="H10" s="109" t="s">
        <v>219</v>
      </c>
    </row>
    <row r="11" spans="1:8" x14ac:dyDescent="0.35">
      <c r="B11" s="148" t="s">
        <v>61</v>
      </c>
      <c r="C11" s="122" t="str">
        <f>INDEX('(2) Pengundi &amp; % Melayu'!$C$5:$C$40,MATCH($B11,'(2) Pengundi &amp; % Melayu'!$B$5:$B$40,0))</f>
        <v>Kota</v>
      </c>
      <c r="D11" s="123">
        <f>INDEX('(2) Pengundi &amp; % Melayu'!$D$5:$D$40,MATCH($B11,'(2) Pengundi &amp; % Melayu'!$B$5:$B$40,0))</f>
        <v>16730</v>
      </c>
      <c r="E11" s="124">
        <f>INDEX('(1) Majoriti'!$I$4:$I$39,MATCH($B11,'(1) Majoriti'!$B$4:$B$39,0))</f>
        <v>-135</v>
      </c>
      <c r="F11" s="125">
        <f>INDEX('(1) Majoriti'!$J$4:$J$39,MATCH($B11,'(1) Majoriti'!$B$4:$B$39,0))</f>
        <v>7</v>
      </c>
      <c r="G11" s="121">
        <f>INDEX('(2) Pengundi &amp; % Melayu'!$M$5:$M$40,MATCH($B11,'(2) Pengundi &amp; % Melayu'!$B$5:$B$40,0))</f>
        <v>0.88589360430364616</v>
      </c>
      <c r="H11" s="110" t="s">
        <v>216</v>
      </c>
    </row>
    <row r="12" spans="1:8" x14ac:dyDescent="0.35">
      <c r="B12" s="149" t="s">
        <v>33</v>
      </c>
      <c r="C12" s="126" t="str">
        <f>INDEX('(2) Pengundi &amp; % Melayu'!$C$5:$C$40,MATCH($B12,'(2) Pengundi &amp; % Melayu'!$B$5:$B$40,0))</f>
        <v>Ampangan</v>
      </c>
      <c r="D12" s="127">
        <f>INDEX('(2) Pengundi &amp; % Melayu'!$D$5:$D$40,MATCH($B12,'(2) Pengundi &amp; % Melayu'!$B$5:$B$40,0))</f>
        <v>21338</v>
      </c>
      <c r="E12" s="128">
        <f>INDEX('(1) Majoriti'!$I$4:$I$39,MATCH($B12,'(1) Majoriti'!$B$4:$B$39,0))</f>
        <v>-329</v>
      </c>
      <c r="F12" s="129">
        <f>INDEX('(1) Majoriti'!$J$4:$J$39,MATCH($B12,'(1) Majoriti'!$B$4:$B$39,0))</f>
        <v>8</v>
      </c>
      <c r="G12" s="121">
        <f>INDEX('(2) Pengundi &amp; % Melayu'!$M$5:$M$40,MATCH($B12,'(2) Pengundi &amp; % Melayu'!$B$5:$B$40,0))</f>
        <v>0.76455150435842156</v>
      </c>
      <c r="H12" s="106" t="s">
        <v>218</v>
      </c>
    </row>
    <row r="13" spans="1:8" x14ac:dyDescent="0.35">
      <c r="B13" s="148" t="s">
        <v>37</v>
      </c>
      <c r="C13" s="122" t="str">
        <f>INDEX('(2) Pengundi &amp; % Melayu'!$C$5:$C$40,MATCH($B13,'(2) Pengundi &amp; % Melayu'!$B$5:$B$40,0))</f>
        <v>Seri Menanti</v>
      </c>
      <c r="D13" s="123">
        <f>INDEX('(2) Pengundi &amp; % Melayu'!$D$5:$D$40,MATCH($B13,'(2) Pengundi &amp; % Melayu'!$B$5:$B$40,0))</f>
        <v>10100</v>
      </c>
      <c r="E13" s="124">
        <f>INDEX('(1) Majoriti'!$I$4:$I$39,MATCH($B13,'(1) Majoriti'!$B$4:$B$39,0))</f>
        <v>-370</v>
      </c>
      <c r="F13" s="125">
        <f>INDEX('(1) Majoriti'!$J$4:$J$39,MATCH($B13,'(1) Majoriti'!$B$4:$B$39,0))</f>
        <v>9</v>
      </c>
      <c r="G13" s="121">
        <f>INDEX('(2) Pengundi &amp; % Melayu'!$M$5:$M$40,MATCH($B13,'(2) Pengundi &amp; % Melayu'!$B$5:$B$40,0))</f>
        <v>0.95693069306930689</v>
      </c>
      <c r="H13" s="111" t="s">
        <v>219</v>
      </c>
    </row>
    <row r="14" spans="1:8" x14ac:dyDescent="0.35">
      <c r="B14" s="148" t="s">
        <v>11</v>
      </c>
      <c r="C14" s="122" t="str">
        <f>INDEX('(2) Pengundi &amp; % Melayu'!$C$5:$C$40,MATCH($B14,'(2) Pengundi &amp; % Melayu'!$B$5:$B$40,0))</f>
        <v>Sungai Lui</v>
      </c>
      <c r="D14" s="123">
        <f>INDEX('(2) Pengundi &amp; % Melayu'!$D$5:$D$40,MATCH($B14,'(2) Pengundi &amp; % Melayu'!$B$5:$B$40,0))</f>
        <v>19711</v>
      </c>
      <c r="E14" s="124">
        <f>INDEX('(1) Majoriti'!$I$4:$I$39,MATCH($B14,'(1) Majoriti'!$B$4:$B$39,0))</f>
        <v>-535</v>
      </c>
      <c r="F14" s="125">
        <f>INDEX('(1) Majoriti'!$J$4:$J$39,MATCH($B14,'(1) Majoriti'!$B$4:$B$39,0))</f>
        <v>10</v>
      </c>
      <c r="G14" s="121">
        <f>INDEX('(2) Pengundi &amp; % Melayu'!$M$5:$M$40,MATCH($B14,'(2) Pengundi &amp; % Melayu'!$B$5:$B$40,0))</f>
        <v>0.84830805134189036</v>
      </c>
      <c r="H14" s="112">
        <v>0.88500000000000001</v>
      </c>
    </row>
    <row r="15" spans="1:8" x14ac:dyDescent="0.35">
      <c r="B15" s="148" t="s">
        <v>17</v>
      </c>
      <c r="C15" s="122" t="str">
        <f>INDEX('(2) Pengundi &amp; % Melayu'!$C$5:$C$40,MATCH($B15,'(2) Pengundi &amp; % Melayu'!$B$5:$B$40,0))</f>
        <v>Palong</v>
      </c>
      <c r="D15" s="123">
        <f>INDEX('(2) Pengundi &amp; % Melayu'!$D$5:$D$40,MATCH($B15,'(2) Pengundi &amp; % Melayu'!$B$5:$B$40,0))</f>
        <v>23548</v>
      </c>
      <c r="E15" s="124">
        <f>INDEX('(1) Majoriti'!$I$4:$I$39,MATCH($B15,'(1) Majoriti'!$B$4:$B$39,0))</f>
        <v>-564</v>
      </c>
      <c r="F15" s="125">
        <f>INDEX('(1) Majoriti'!$J$4:$J$39,MATCH($B15,'(1) Majoriti'!$B$4:$B$39,0))</f>
        <v>11</v>
      </c>
      <c r="G15" s="121">
        <f>INDEX('(2) Pengundi &amp; % Melayu'!$M$5:$M$40,MATCH($B15,'(2) Pengundi &amp; % Melayu'!$B$5:$B$40,0))</f>
        <v>0.92963308985901139</v>
      </c>
      <c r="H15" s="113" t="s">
        <v>217</v>
      </c>
    </row>
    <row r="16" spans="1:8" x14ac:dyDescent="0.35">
      <c r="B16" s="149" t="s">
        <v>13</v>
      </c>
      <c r="C16" s="126" t="str">
        <f>INDEX('(2) Pengundi &amp; % Melayu'!$C$5:$C$40,MATCH($B16,'(2) Pengundi &amp; % Melayu'!$B$5:$B$40,0))</f>
        <v>Klawang</v>
      </c>
      <c r="D16" s="127">
        <f>INDEX('(2) Pengundi &amp; % Melayu'!$D$5:$D$40,MATCH($B16,'(2) Pengundi &amp; % Melayu'!$B$5:$B$40,0))</f>
        <v>13329</v>
      </c>
      <c r="E16" s="128">
        <f>INDEX('(1) Majoriti'!$I$4:$I$39,MATCH($B16,'(1) Majoriti'!$B$4:$B$39,0))</f>
        <v>-577</v>
      </c>
      <c r="F16" s="129">
        <f>INDEX('(1) Majoriti'!$J$4:$J$39,MATCH($B16,'(1) Majoriti'!$B$4:$B$39,0))</f>
        <v>12</v>
      </c>
      <c r="G16" s="121">
        <f>INDEX('(2) Pengundi &amp; % Melayu'!$M$5:$M$40,MATCH($B16,'(2) Pengundi &amp; % Melayu'!$B$5:$B$40,0))</f>
        <v>0.6785205191687298</v>
      </c>
      <c r="H16" s="110" t="s">
        <v>216</v>
      </c>
    </row>
    <row r="17" spans="2:8" x14ac:dyDescent="0.35">
      <c r="B17" s="148" t="s">
        <v>39</v>
      </c>
      <c r="C17" s="122" t="str">
        <f>INDEX('(2) Pengundi &amp; % Melayu'!$C$5:$C$40,MATCH($B17,'(2) Pengundi &amp; % Melayu'!$B$5:$B$40,0))</f>
        <v>Senaling</v>
      </c>
      <c r="D17" s="123">
        <f>INDEX('(2) Pengundi &amp; % Melayu'!$D$5:$D$40,MATCH($B17,'(2) Pengundi &amp; % Melayu'!$B$5:$B$40,0))</f>
        <v>9914</v>
      </c>
      <c r="E17" s="124">
        <f>INDEX('(1) Majoriti'!$I$4:$I$39,MATCH($B17,'(1) Majoriti'!$B$4:$B$39,0))</f>
        <v>-662</v>
      </c>
      <c r="F17" s="125">
        <f>INDEX('(1) Majoriti'!$J$4:$J$39,MATCH($B17,'(1) Majoriti'!$B$4:$B$39,0))</f>
        <v>13</v>
      </c>
      <c r="G17" s="121">
        <f>INDEX('(2) Pengundi &amp; % Melayu'!$M$5:$M$40,MATCH($B17,'(2) Pengundi &amp; % Melayu'!$B$5:$B$40,0))</f>
        <v>0.81874117409723624</v>
      </c>
      <c r="H17" s="111" t="s">
        <v>219</v>
      </c>
    </row>
    <row r="18" spans="2:8" x14ac:dyDescent="0.35">
      <c r="B18" s="148" t="s">
        <v>23</v>
      </c>
      <c r="C18" s="122" t="str">
        <f>INDEX('(2) Pengundi &amp; % Melayu'!$C$5:$C$40,MATCH($B18,'(2) Pengundi &amp; % Melayu'!$B$5:$B$40,0))</f>
        <v>Lenggeng</v>
      </c>
      <c r="D18" s="123">
        <f>INDEX('(2) Pengundi &amp; % Melayu'!$D$5:$D$40,MATCH($B18,'(2) Pengundi &amp; % Melayu'!$B$5:$B$40,0))</f>
        <v>28671</v>
      </c>
      <c r="E18" s="124">
        <f>INDEX('(1) Majoriti'!$I$4:$I$39,MATCH($B18,'(1) Majoriti'!$B$4:$B$39,0))</f>
        <v>-685</v>
      </c>
      <c r="F18" s="125">
        <f>INDEX('(1) Majoriti'!$J$4:$J$39,MATCH($B18,'(1) Majoriti'!$B$4:$B$39,0))</f>
        <v>14</v>
      </c>
      <c r="G18" s="121">
        <f>INDEX('(2) Pengundi &amp; % Melayu'!$M$5:$M$40,MATCH($B18,'(2) Pengundi &amp; % Melayu'!$B$5:$B$40,0))</f>
        <v>0.79571692651110881</v>
      </c>
      <c r="H18" s="106" t="s">
        <v>218</v>
      </c>
    </row>
    <row r="19" spans="2:8" ht="15" thickBot="1" x14ac:dyDescent="0.4">
      <c r="B19" s="150" t="s">
        <v>19</v>
      </c>
      <c r="C19" s="151" t="str">
        <f>INDEX('(2) Pengundi &amp; % Melayu'!$C$5:$C$40,MATCH($B19,'(2) Pengundi &amp; % Melayu'!$B$5:$B$40,0))</f>
        <v>Jeram Padang</v>
      </c>
      <c r="D19" s="152">
        <f>INDEX('(2) Pengundi &amp; % Melayu'!$D$5:$D$40,MATCH($B19,'(2) Pengundi &amp; % Melayu'!$B$5:$B$40,0))</f>
        <v>16539</v>
      </c>
      <c r="E19" s="153">
        <f>INDEX('(1) Majoriti'!$I$4:$I$39,MATCH($B19,'(1) Majoriti'!$B$4:$B$39,0))</f>
        <v>-693</v>
      </c>
      <c r="F19" s="154">
        <f>INDEX('(1) Majoriti'!$J$4:$J$39,MATCH($B19,'(1) Majoriti'!$B$4:$B$39,0))</f>
        <v>15</v>
      </c>
      <c r="G19" s="142">
        <f>INDEX('(2) Pengundi &amp; % Melayu'!$M$5:$M$40,MATCH($B19,'(2) Pengundi &amp; % Melayu'!$B$5:$B$40,0))</f>
        <v>0.57548823991777009</v>
      </c>
      <c r="H19" s="108" t="s">
        <v>217</v>
      </c>
    </row>
    <row r="20" spans="2:8" x14ac:dyDescent="0.35">
      <c r="B20" s="155" t="s">
        <v>41</v>
      </c>
      <c r="C20" s="156" t="str">
        <f>INDEX('(2) Pengundi &amp; % Melayu'!$C$5:$C$40,MATCH($B20,'(2) Pengundi &amp; % Melayu'!$B$5:$B$40,0))</f>
        <v>Pilah</v>
      </c>
      <c r="D20" s="157">
        <f>INDEX('(2) Pengundi &amp; % Melayu'!$D$5:$D$40,MATCH($B20,'(2) Pengundi &amp; % Melayu'!$B$5:$B$40,0))</f>
        <v>17963</v>
      </c>
      <c r="E20" s="158">
        <f>INDEX('(1) Majoriti'!$I$4:$I$39,MATCH($B20,'(1) Majoriti'!$B$4:$B$39,0))</f>
        <v>-1079</v>
      </c>
      <c r="F20" s="159">
        <f>INDEX('(1) Majoriti'!$J$4:$J$39,MATCH($B20,'(1) Majoriti'!$B$4:$B$39,0))</f>
        <v>16</v>
      </c>
      <c r="G20" s="135">
        <f>INDEX('(2) Pengundi &amp; % Melayu'!$M$5:$M$40,MATCH($B20,'(2) Pengundi &amp; % Melayu'!$B$5:$B$40,0))</f>
        <v>0.6665924400155876</v>
      </c>
      <c r="H20" s="109" t="s">
        <v>219</v>
      </c>
    </row>
    <row r="21" spans="2:8" x14ac:dyDescent="0.35">
      <c r="B21" s="148" t="s">
        <v>69</v>
      </c>
      <c r="C21" s="122" t="str">
        <f>INDEX('(2) Pengundi &amp; % Melayu'!$C$5:$C$40,MATCH($B21,'(2) Pengundi &amp; % Melayu'!$B$5:$B$40,0))</f>
        <v>Linggi</v>
      </c>
      <c r="D21" s="123">
        <f>INDEX('(2) Pengundi &amp; % Melayu'!$D$5:$D$40,MATCH($B21,'(2) Pengundi &amp; % Melayu'!$B$5:$B$40,0))</f>
        <v>20768</v>
      </c>
      <c r="E21" s="124">
        <f>INDEX('(1) Majoriti'!$I$4:$I$39,MATCH($B21,'(1) Majoriti'!$B$4:$B$39,0))</f>
        <v>-1461</v>
      </c>
      <c r="F21" s="125">
        <f>INDEX('(1) Majoriti'!$J$4:$J$39,MATCH($B21,'(1) Majoriti'!$B$4:$B$39,0))</f>
        <v>17</v>
      </c>
      <c r="G21" s="121">
        <f>INDEX('(2) Pengundi &amp; % Melayu'!$M$5:$M$40,MATCH($B21,'(2) Pengundi &amp; % Melayu'!$B$5:$B$40,0))</f>
        <v>0.6518201078582434</v>
      </c>
      <c r="H21" s="114">
        <v>0.77</v>
      </c>
    </row>
    <row r="22" spans="2:8" x14ac:dyDescent="0.35">
      <c r="B22" s="148" t="s">
        <v>43</v>
      </c>
      <c r="C22" s="122" t="str">
        <f>INDEX('(2) Pengundi &amp; % Melayu'!$C$5:$C$40,MATCH($B22,'(2) Pengundi &amp; % Melayu'!$B$5:$B$40,0))</f>
        <v>Johol</v>
      </c>
      <c r="D22" s="123">
        <f>INDEX('(2) Pengundi &amp; % Melayu'!$D$5:$D$40,MATCH($B22,'(2) Pengundi &amp; % Melayu'!$B$5:$B$40,0))</f>
        <v>12359</v>
      </c>
      <c r="E22" s="124">
        <f>INDEX('(1) Majoriti'!$I$4:$I$39,MATCH($B22,'(1) Majoriti'!$B$4:$B$39,0))</f>
        <v>-2117</v>
      </c>
      <c r="F22" s="125">
        <f>INDEX('(1) Majoriti'!$J$4:$J$39,MATCH($B22,'(1) Majoriti'!$B$4:$B$39,0))</f>
        <v>18</v>
      </c>
      <c r="G22" s="121">
        <f>INDEX('(2) Pengundi &amp; % Melayu'!$M$5:$M$40,MATCH($B22,'(2) Pengundi &amp; % Melayu'!$B$5:$B$40,0))</f>
        <v>0.7856622704102274</v>
      </c>
      <c r="H22" s="111" t="s">
        <v>219</v>
      </c>
    </row>
    <row r="23" spans="2:8" x14ac:dyDescent="0.35">
      <c r="B23" s="149" t="s">
        <v>7</v>
      </c>
      <c r="C23" s="126" t="str">
        <f>INDEX('(2) Pengundi &amp; % Melayu'!$C$5:$C$40,MATCH($B23,'(2) Pengundi &amp; % Melayu'!$B$5:$B$40,0))</f>
        <v>Chennah</v>
      </c>
      <c r="D23" s="127">
        <f>INDEX('(2) Pengundi &amp; % Melayu'!$D$5:$D$40,MATCH($B23,'(2) Pengundi &amp; % Melayu'!$B$5:$B$40,0))</f>
        <v>14427</v>
      </c>
      <c r="E23" s="128">
        <f>INDEX('(1) Majoriti'!$I$4:$I$39,MATCH($B23,'(1) Majoriti'!$B$4:$B$39,0))</f>
        <v>-2200</v>
      </c>
      <c r="F23" s="129">
        <f>INDEX('(1) Majoriti'!$J$4:$J$39,MATCH($B23,'(1) Majoriti'!$B$4:$B$39,0))</f>
        <v>19</v>
      </c>
      <c r="G23" s="121">
        <f>INDEX('(2) Pengundi &amp; % Melayu'!$M$5:$M$40,MATCH($B23,'(2) Pengundi &amp; % Melayu'!$B$5:$B$40,0))</f>
        <v>0.51840299438552717</v>
      </c>
      <c r="H23" s="110" t="s">
        <v>216</v>
      </c>
    </row>
    <row r="24" spans="2:8" x14ac:dyDescent="0.35">
      <c r="B24" s="148" t="s">
        <v>75</v>
      </c>
      <c r="C24" s="122" t="str">
        <f>INDEX('(2) Pengundi &amp; % Melayu'!$C$5:$C$40,MATCH($B24,'(2) Pengundi &amp; % Melayu'!$B$5:$B$40,0))</f>
        <v>Gemencheh</v>
      </c>
      <c r="D24" s="123">
        <f>INDEX('(2) Pengundi &amp; % Melayu'!$D$5:$D$40,MATCH($B24,'(2) Pengundi &amp; % Melayu'!$B$5:$B$40,0))</f>
        <v>24878</v>
      </c>
      <c r="E24" s="124">
        <f>INDEX('(1) Majoriti'!$I$4:$I$39,MATCH($B24,'(1) Majoriti'!$B$4:$B$39,0))</f>
        <v>-2434</v>
      </c>
      <c r="F24" s="125">
        <f>INDEX('(1) Majoriti'!$J$4:$J$39,MATCH($B24,'(1) Majoriti'!$B$4:$B$39,0))</f>
        <v>20</v>
      </c>
      <c r="G24" s="121">
        <f>INDEX('(2) Pengundi &amp; % Melayu'!$M$5:$M$40,MATCH($B24,'(2) Pengundi &amp; % Melayu'!$B$5:$B$40,0))</f>
        <v>0.63381300747648528</v>
      </c>
      <c r="H24" s="107">
        <v>0.53849999999999998</v>
      </c>
    </row>
    <row r="25" spans="2:8" x14ac:dyDescent="0.35">
      <c r="B25" s="149" t="s">
        <v>31</v>
      </c>
      <c r="C25" s="126" t="str">
        <f>INDEX('(2) Pengundi &amp; % Melayu'!$C$5:$C$40,MATCH($B25,'(2) Pengundi &amp; % Melayu'!$B$5:$B$40,0))</f>
        <v>Sikamat</v>
      </c>
      <c r="D25" s="127">
        <f>INDEX('(2) Pengundi &amp; % Melayu'!$D$5:$D$40,MATCH($B25,'(2) Pengundi &amp; % Melayu'!$B$5:$B$40,0))</f>
        <v>33885</v>
      </c>
      <c r="E25" s="128">
        <f>INDEX('(1) Majoriti'!$I$4:$I$39,MATCH($B25,'(1) Majoriti'!$B$4:$B$39,0))</f>
        <v>-2662</v>
      </c>
      <c r="F25" s="129">
        <f>INDEX('(1) Majoriti'!$J$4:$J$39,MATCH($B25,'(1) Majoriti'!$B$4:$B$39,0))</f>
        <v>21</v>
      </c>
      <c r="G25" s="121">
        <f>INDEX('(2) Pengundi &amp; % Melayu'!$M$5:$M$40,MATCH($B25,'(2) Pengundi &amp; % Melayu'!$B$5:$B$40,0))</f>
        <v>0.7323004279179578</v>
      </c>
      <c r="H25" s="106" t="s">
        <v>218</v>
      </c>
    </row>
    <row r="26" spans="2:8" x14ac:dyDescent="0.35">
      <c r="B26" s="148" t="s">
        <v>9</v>
      </c>
      <c r="C26" s="122" t="str">
        <f>INDEX('(2) Pengundi &amp; % Melayu'!$C$5:$C$40,MATCH($B26,'(2) Pengundi &amp; % Melayu'!$B$5:$B$40,0))</f>
        <v>Pertang</v>
      </c>
      <c r="D26" s="123">
        <f>INDEX('(2) Pengundi &amp; % Melayu'!$D$5:$D$40,MATCH($B26,'(2) Pengundi &amp; % Melayu'!$B$5:$B$40,0))</f>
        <v>12880</v>
      </c>
      <c r="E26" s="124">
        <f>INDEX('(1) Majoriti'!$I$4:$I$39,MATCH($B26,'(1) Majoriti'!$B$4:$B$39,0))</f>
        <v>-2790</v>
      </c>
      <c r="F26" s="125">
        <f>INDEX('(1) Majoriti'!$J$4:$J$39,MATCH($B26,'(1) Majoriti'!$B$4:$B$39,0))</f>
        <v>22</v>
      </c>
      <c r="G26" s="121">
        <f>INDEX('(2) Pengundi &amp; % Melayu'!$M$5:$M$40,MATCH($B26,'(2) Pengundi &amp; % Melayu'!$B$5:$B$40,0))</f>
        <v>0.71436335403726703</v>
      </c>
      <c r="H26" s="115">
        <v>0.115</v>
      </c>
    </row>
    <row r="27" spans="2:8" x14ac:dyDescent="0.35">
      <c r="B27" s="149" t="s">
        <v>29</v>
      </c>
      <c r="C27" s="126" t="str">
        <f>INDEX('(2) Pengundi &amp; % Melayu'!$C$5:$C$40,MATCH($B27,'(2) Pengundi &amp; % Melayu'!$B$5:$B$40,0))</f>
        <v>Temiang</v>
      </c>
      <c r="D27" s="127">
        <f>INDEX('(2) Pengundi &amp; % Melayu'!$D$5:$D$40,MATCH($B27,'(2) Pengundi &amp; % Melayu'!$B$5:$B$40,0))</f>
        <v>12975</v>
      </c>
      <c r="E27" s="128">
        <f>INDEX('(1) Majoriti'!$I$4:$I$39,MATCH($B27,'(1) Majoriti'!$B$4:$B$39,0))</f>
        <v>-3068</v>
      </c>
      <c r="F27" s="129">
        <f>INDEX('(1) Majoriti'!$J$4:$J$39,MATCH($B27,'(1) Majoriti'!$B$4:$B$39,0))</f>
        <v>23</v>
      </c>
      <c r="G27" s="121">
        <f>INDEX('(2) Pengundi &amp; % Melayu'!$M$5:$M$40,MATCH($B27,'(2) Pengundi &amp; % Melayu'!$B$5:$B$40,0))</f>
        <v>0.42181117533718687</v>
      </c>
      <c r="H27" s="106" t="s">
        <v>218</v>
      </c>
    </row>
    <row r="28" spans="2:8" x14ac:dyDescent="0.35">
      <c r="B28" s="149" t="s">
        <v>71</v>
      </c>
      <c r="C28" s="126" t="str">
        <f>INDEX('(2) Pengundi &amp; % Melayu'!$C$5:$C$40,MATCH($B28,'(2) Pengundi &amp; % Melayu'!$B$5:$B$40,0))</f>
        <v>Sri Tanjung</v>
      </c>
      <c r="D28" s="127">
        <f>INDEX('(2) Pengundi &amp; % Melayu'!$D$5:$D$40,MATCH($B28,'(2) Pengundi &amp; % Melayu'!$B$5:$B$40,0))</f>
        <v>19585</v>
      </c>
      <c r="E28" s="128">
        <f>INDEX('(1) Majoriti'!$I$4:$I$39,MATCH($B28,'(1) Majoriti'!$B$4:$B$39,0))</f>
        <v>-3996</v>
      </c>
      <c r="F28" s="129">
        <f>INDEX('(1) Majoriti'!$J$4:$J$39,MATCH($B28,'(1) Majoriti'!$B$4:$B$39,0))</f>
        <v>24</v>
      </c>
      <c r="G28" s="121">
        <f>INDEX('(2) Pengundi &amp; % Melayu'!$M$5:$M$40,MATCH($B28,'(2) Pengundi &amp; % Melayu'!$B$5:$B$40,0))</f>
        <v>0.42461067143221853</v>
      </c>
      <c r="H28" s="110" t="s">
        <v>216</v>
      </c>
    </row>
    <row r="29" spans="2:8" x14ac:dyDescent="0.35">
      <c r="B29" s="148" t="s">
        <v>57</v>
      </c>
      <c r="C29" s="122" t="str">
        <f>INDEX('(2) Pengundi &amp; % Melayu'!$C$5:$C$40,MATCH($B29,'(2) Pengundi &amp; % Melayu'!$B$5:$B$40,0))</f>
        <v>Chembong</v>
      </c>
      <c r="D29" s="123">
        <f>INDEX('(2) Pengundi &amp; % Melayu'!$D$5:$D$40,MATCH($B29,'(2) Pengundi &amp; % Melayu'!$B$5:$B$40,0))</f>
        <v>26440</v>
      </c>
      <c r="E29" s="124">
        <f>INDEX('(1) Majoriti'!$I$4:$I$39,MATCH($B29,'(1) Majoriti'!$B$4:$B$39,0))</f>
        <v>-4335</v>
      </c>
      <c r="F29" s="125">
        <f>INDEX('(1) Majoriti'!$J$4:$J$39,MATCH($B29,'(1) Majoriti'!$B$4:$B$39,0))</f>
        <v>25</v>
      </c>
      <c r="G29" s="121">
        <f>INDEX('(2) Pengundi &amp; % Melayu'!$M$5:$M$40,MATCH($B29,'(2) Pengundi &amp; % Melayu'!$B$5:$B$40,0))</f>
        <v>0.83801059001512856</v>
      </c>
      <c r="H29" s="110" t="s">
        <v>216</v>
      </c>
    </row>
    <row r="30" spans="2:8" x14ac:dyDescent="0.35">
      <c r="B30" s="149" t="s">
        <v>77</v>
      </c>
      <c r="C30" s="126" t="str">
        <f>INDEX('(2) Pengundi &amp; % Melayu'!$C$5:$C$40,MATCH($B30,'(2) Pengundi &amp; % Melayu'!$B$5:$B$40,0))</f>
        <v>Repah</v>
      </c>
      <c r="D30" s="127">
        <f>INDEX('(2) Pengundi &amp; % Melayu'!$D$5:$D$40,MATCH($B30,'(2) Pengundi &amp; % Melayu'!$B$5:$B$40,0))</f>
        <v>27830</v>
      </c>
      <c r="E30" s="128">
        <f>INDEX('(1) Majoriti'!$I$4:$I$39,MATCH($B30,'(1) Majoriti'!$B$4:$B$39,0))</f>
        <v>-5950</v>
      </c>
      <c r="F30" s="129">
        <f>INDEX('(1) Majoriti'!$J$4:$J$39,MATCH($B30,'(1) Majoriti'!$B$4:$B$39,0))</f>
        <v>26</v>
      </c>
      <c r="G30" s="121">
        <f>INDEX('(2) Pengundi &amp; % Melayu'!$M$5:$M$40,MATCH($B30,'(2) Pengundi &amp; % Melayu'!$B$5:$B$40,0))</f>
        <v>0.41789435860582108</v>
      </c>
      <c r="H30" s="107">
        <v>0.53849999999999998</v>
      </c>
    </row>
    <row r="31" spans="2:8" x14ac:dyDescent="0.35">
      <c r="B31" s="149" t="s">
        <v>63</v>
      </c>
      <c r="C31" s="126" t="str">
        <f>INDEX('(2) Pengundi &amp; % Melayu'!$C$5:$C$40,MATCH($B31,'(2) Pengundi &amp; % Melayu'!$B$5:$B$40,0))</f>
        <v>Chuah</v>
      </c>
      <c r="D31" s="127">
        <f>INDEX('(2) Pengundi &amp; % Melayu'!$D$5:$D$40,MATCH($B31,'(2) Pengundi &amp; % Melayu'!$B$5:$B$40,0))</f>
        <v>15141</v>
      </c>
      <c r="E31" s="128">
        <f>INDEX('(1) Majoriti'!$I$4:$I$39,MATCH($B31,'(1) Majoriti'!$B$4:$B$39,0))</f>
        <v>-6298</v>
      </c>
      <c r="F31" s="129">
        <f>INDEX('(1) Majoriti'!$J$4:$J$39,MATCH($B31,'(1) Majoriti'!$B$4:$B$39,0))</f>
        <v>27</v>
      </c>
      <c r="G31" s="121">
        <f>INDEX('(2) Pengundi &amp; % Melayu'!$M$5:$M$40,MATCH($B31,'(2) Pengundi &amp; % Melayu'!$B$5:$B$40,0))</f>
        <v>0.25302159698830989</v>
      </c>
      <c r="H31" s="110" t="s">
        <v>216</v>
      </c>
    </row>
    <row r="32" spans="2:8" x14ac:dyDescent="0.35">
      <c r="B32" s="149" t="s">
        <v>49</v>
      </c>
      <c r="C32" s="126" t="str">
        <f>INDEX('(2) Pengundi &amp; % Melayu'!$C$5:$C$40,MATCH($B32,'(2) Pengundi &amp; % Melayu'!$B$5:$B$40,0))</f>
        <v>Rahang</v>
      </c>
      <c r="D32" s="127">
        <f>INDEX('(2) Pengundi &amp; % Melayu'!$D$5:$D$40,MATCH($B32,'(2) Pengundi &amp; % Melayu'!$B$5:$B$40,0))</f>
        <v>19608</v>
      </c>
      <c r="E32" s="128">
        <f>INDEX('(1) Majoriti'!$I$4:$I$39,MATCH($B32,'(1) Majoriti'!$B$4:$B$39,0))</f>
        <v>-6432</v>
      </c>
      <c r="F32" s="129">
        <f>INDEX('(1) Majoriti'!$J$4:$J$39,MATCH($B32,'(1) Majoriti'!$B$4:$B$39,0))</f>
        <v>28</v>
      </c>
      <c r="G32" s="121">
        <f>INDEX('(2) Pengundi &amp; % Melayu'!$M$5:$M$40,MATCH($B32,'(2) Pengundi &amp; % Melayu'!$B$5:$B$40,0))</f>
        <v>0.33027335781313749</v>
      </c>
      <c r="H32" s="107">
        <v>0.57689999999999997</v>
      </c>
    </row>
    <row r="33" spans="2:8" x14ac:dyDescent="0.35">
      <c r="B33" s="149" t="s">
        <v>21</v>
      </c>
      <c r="C33" s="126" t="str">
        <f>INDEX('(2) Pengundi &amp; % Melayu'!$C$5:$C$40,MATCH($B33,'(2) Pengundi &amp; % Melayu'!$B$5:$B$40,0))</f>
        <v>Bahau</v>
      </c>
      <c r="D33" s="127">
        <f>INDEX('(2) Pengundi &amp; % Melayu'!$D$5:$D$40,MATCH($B33,'(2) Pengundi &amp; % Melayu'!$B$5:$B$40,0))</f>
        <v>25951</v>
      </c>
      <c r="E33" s="128">
        <f>INDEX('(1) Majoriti'!$I$4:$I$39,MATCH($B33,'(1) Majoriti'!$B$4:$B$39,0))</f>
        <v>-8408</v>
      </c>
      <c r="F33" s="129">
        <f>INDEX('(1) Majoriti'!$J$4:$J$39,MATCH($B33,'(1) Majoriti'!$B$4:$B$39,0))</f>
        <v>29</v>
      </c>
      <c r="G33" s="121">
        <f>INDEX('(2) Pengundi &amp; % Melayu'!$M$5:$M$40,MATCH($B33,'(2) Pengundi &amp; % Melayu'!$B$5:$B$40,0))</f>
        <v>0.31632692381796462</v>
      </c>
      <c r="H33" s="113" t="s">
        <v>217</v>
      </c>
    </row>
    <row r="34" spans="2:8" x14ac:dyDescent="0.35">
      <c r="B34" s="149" t="s">
        <v>65</v>
      </c>
      <c r="C34" s="126" t="str">
        <f>INDEX('(2) Pengundi &amp; % Melayu'!$C$5:$C$40,MATCH($B34,'(2) Pengundi &amp; % Melayu'!$B$5:$B$40,0))</f>
        <v>Lukut</v>
      </c>
      <c r="D34" s="127">
        <f>INDEX('(2) Pengundi &amp; % Melayu'!$D$5:$D$40,MATCH($B34,'(2) Pengundi &amp; % Melayu'!$B$5:$B$40,0))</f>
        <v>28010</v>
      </c>
      <c r="E34" s="128">
        <f>INDEX('(1) Majoriti'!$I$4:$I$39,MATCH($B34,'(1) Majoriti'!$B$4:$B$39,0))</f>
        <v>-10135</v>
      </c>
      <c r="F34" s="129">
        <f>INDEX('(1) Majoriti'!$J$4:$J$39,MATCH($B34,'(1) Majoriti'!$B$4:$B$39,0))</f>
        <v>30</v>
      </c>
      <c r="G34" s="121">
        <f>INDEX('(2) Pengundi &amp; % Melayu'!$M$5:$M$40,MATCH($B34,'(2) Pengundi &amp; % Melayu'!$B$5:$B$40,0))</f>
        <v>0.26033559443056054</v>
      </c>
      <c r="H34" s="110" t="s">
        <v>216</v>
      </c>
    </row>
    <row r="35" spans="2:8" x14ac:dyDescent="0.35">
      <c r="B35" s="148" t="s">
        <v>59</v>
      </c>
      <c r="C35" s="122" t="str">
        <f>INDEX('(2) Pengundi &amp; % Melayu'!$C$5:$C$40,MATCH($B35,'(2) Pengundi &amp; % Melayu'!$B$5:$B$40,0))</f>
        <v>Rantau</v>
      </c>
      <c r="D35" s="123">
        <f>INDEX('(2) Pengundi &amp; % Melayu'!$D$5:$D$40,MATCH($B35,'(2) Pengundi &amp; % Melayu'!$B$5:$B$40,0))</f>
        <v>34636</v>
      </c>
      <c r="E35" s="124">
        <f>INDEX('(1) Majoriti'!$I$4:$I$39,MATCH($B35,'(1) Majoriti'!$B$4:$B$39,0))</f>
        <v>-10280</v>
      </c>
      <c r="F35" s="125">
        <f>INDEX('(1) Majoriti'!$J$4:$J$39,MATCH($B35,'(1) Majoriti'!$B$4:$B$39,0))</f>
        <v>31</v>
      </c>
      <c r="G35" s="121">
        <f>INDEX('(2) Pengundi &amp; % Melayu'!$M$5:$M$40,MATCH($B35,'(2) Pengundi &amp; % Melayu'!$B$5:$B$40,0))</f>
        <v>0.57991684952072986</v>
      </c>
      <c r="H35" s="110" t="s">
        <v>216</v>
      </c>
    </row>
    <row r="36" spans="2:8" x14ac:dyDescent="0.35">
      <c r="B36" s="149" t="s">
        <v>25</v>
      </c>
      <c r="C36" s="126" t="str">
        <f>INDEX('(2) Pengundi &amp; % Melayu'!$C$5:$C$40,MATCH($B36,'(2) Pengundi &amp; % Melayu'!$B$5:$B$40,0))</f>
        <v>Nilai</v>
      </c>
      <c r="D36" s="127">
        <f>INDEX('(2) Pengundi &amp; % Melayu'!$D$5:$D$40,MATCH($B36,'(2) Pengundi &amp; % Melayu'!$B$5:$B$40,0))</f>
        <v>45487</v>
      </c>
      <c r="E36" s="128">
        <f>INDEX('(1) Majoriti'!$I$4:$I$39,MATCH($B36,'(1) Majoriti'!$B$4:$B$39,0))</f>
        <v>-10889</v>
      </c>
      <c r="F36" s="129">
        <f>INDEX('(1) Majoriti'!$J$4:$J$39,MATCH($B36,'(1) Majoriti'!$B$4:$B$39,0))</f>
        <v>32</v>
      </c>
      <c r="G36" s="121">
        <f>INDEX('(2) Pengundi &amp; % Melayu'!$M$5:$M$40,MATCH($B36,'(2) Pengundi &amp; % Melayu'!$B$5:$B$40,0))</f>
        <v>0.48833732714841604</v>
      </c>
      <c r="H36" s="106" t="s">
        <v>218</v>
      </c>
    </row>
    <row r="37" spans="2:8" x14ac:dyDescent="0.35">
      <c r="B37" s="149" t="s">
        <v>53</v>
      </c>
      <c r="C37" s="126" t="str">
        <f>INDEX('(2) Pengundi &amp; % Melayu'!$C$5:$C$40,MATCH($B37,'(2) Pengundi &amp; % Melayu'!$B$5:$B$40,0))</f>
        <v>Seremban Jaya</v>
      </c>
      <c r="D37" s="127">
        <f>INDEX('(2) Pengundi &amp; % Melayu'!$D$5:$D$40,MATCH($B37,'(2) Pengundi &amp; % Melayu'!$B$5:$B$40,0))</f>
        <v>32899</v>
      </c>
      <c r="E37" s="128">
        <f>INDEX('(1) Majoriti'!$I$4:$I$39,MATCH($B37,'(1) Majoriti'!$B$4:$B$39,0))</f>
        <v>-12703</v>
      </c>
      <c r="F37" s="129">
        <f>INDEX('(1) Majoriti'!$J$4:$J$39,MATCH($B37,'(1) Majoriti'!$B$4:$B$39,0))</f>
        <v>33</v>
      </c>
      <c r="G37" s="121">
        <f>INDEX('(2) Pengundi &amp; % Melayu'!$M$5:$M$40,MATCH($B37,'(2) Pengundi &amp; % Melayu'!$B$5:$B$40,0))</f>
        <v>0.26690780874798625</v>
      </c>
      <c r="H37" s="110" t="s">
        <v>216</v>
      </c>
    </row>
    <row r="38" spans="2:8" x14ac:dyDescent="0.35">
      <c r="B38" s="149" t="s">
        <v>27</v>
      </c>
      <c r="C38" s="126" t="str">
        <f>INDEX('(2) Pengundi &amp; % Melayu'!$C$5:$C$40,MATCH($B38,'(2) Pengundi &amp; % Melayu'!$B$5:$B$40,0))</f>
        <v>Lobak</v>
      </c>
      <c r="D38" s="127">
        <f>INDEX('(2) Pengundi &amp; % Melayu'!$D$5:$D$40,MATCH($B38,'(2) Pengundi &amp; % Melayu'!$B$5:$B$40,0))</f>
        <v>23141</v>
      </c>
      <c r="E38" s="128">
        <f>INDEX('(1) Majoriti'!$I$4:$I$39,MATCH($B38,'(1) Majoriti'!$B$4:$B$39,0))</f>
        <v>-13504</v>
      </c>
      <c r="F38" s="129">
        <f>INDEX('(1) Majoriti'!$J$4:$J$39,MATCH($B38,'(1) Majoriti'!$B$4:$B$39,0))</f>
        <v>34</v>
      </c>
      <c r="G38" s="121">
        <f>INDEX('(2) Pengundi &amp; % Melayu'!$M$5:$M$40,MATCH($B38,'(2) Pengundi &amp; % Melayu'!$B$5:$B$40,0))</f>
        <v>6.7196750356510085E-2</v>
      </c>
      <c r="H38" s="106" t="s">
        <v>218</v>
      </c>
    </row>
    <row r="39" spans="2:8" x14ac:dyDescent="0.35">
      <c r="B39" s="149" t="s">
        <v>51</v>
      </c>
      <c r="C39" s="126" t="str">
        <f>INDEX('(2) Pengundi &amp; % Melayu'!$C$5:$C$40,MATCH($B39,'(2) Pengundi &amp; % Melayu'!$B$5:$B$40,0))</f>
        <v>Mambau</v>
      </c>
      <c r="D39" s="127">
        <f>INDEX('(2) Pengundi &amp; % Melayu'!$D$5:$D$40,MATCH($B39,'(2) Pengundi &amp; % Melayu'!$B$5:$B$40,0))</f>
        <v>30316</v>
      </c>
      <c r="E39" s="128">
        <f>INDEX('(1) Majoriti'!$I$4:$I$39,MATCH($B39,'(1) Majoriti'!$B$4:$B$39,0))</f>
        <v>-14940</v>
      </c>
      <c r="F39" s="129">
        <f>INDEX('(1) Majoriti'!$J$4:$J$39,MATCH($B39,'(1) Majoriti'!$B$4:$B$39,0))</f>
        <v>35</v>
      </c>
      <c r="G39" s="121">
        <f>INDEX('(2) Pengundi &amp; % Melayu'!$M$5:$M$40,MATCH($B39,'(2) Pengundi &amp; % Melayu'!$B$5:$B$40,0))</f>
        <v>0.15110832563662752</v>
      </c>
      <c r="H39" s="110" t="s">
        <v>216</v>
      </c>
    </row>
    <row r="40" spans="2:8" ht="15" thickBot="1" x14ac:dyDescent="0.4">
      <c r="B40" s="160" t="s">
        <v>47</v>
      </c>
      <c r="C40" s="161" t="str">
        <f>INDEX('(2) Pengundi &amp; % Melayu'!$C$5:$C$40,MATCH($B40,'(2) Pengundi &amp; % Melayu'!$B$5:$B$40,0))</f>
        <v>Bukit Kepayang</v>
      </c>
      <c r="D40" s="162">
        <f>INDEX('(2) Pengundi &amp; % Melayu'!$D$5:$D$40,MATCH($B40,'(2) Pengundi &amp; % Melayu'!$B$5:$B$40,0))</f>
        <v>49248</v>
      </c>
      <c r="E40" s="163">
        <f>INDEX('(1) Majoriti'!$I$4:$I$39,MATCH($B40,'(1) Majoriti'!$B$4:$B$39,0))</f>
        <v>-19684</v>
      </c>
      <c r="F40" s="164">
        <f>INDEX('(1) Majoriti'!$J$4:$J$39,MATCH($B40,'(1) Majoriti'!$B$4:$B$39,0))</f>
        <v>36</v>
      </c>
      <c r="G40" s="142">
        <f>INDEX('(2) Pengundi &amp; % Melayu'!$M$5:$M$40,MATCH($B40,'(2) Pengundi &amp; % Melayu'!$B$5:$B$40,0))</f>
        <v>0.29757553606237819</v>
      </c>
      <c r="H40" s="116">
        <v>0.57689999999999997</v>
      </c>
    </row>
  </sheetData>
  <sortState xmlns:xlrd2="http://schemas.microsoft.com/office/spreadsheetml/2017/richdata2" ref="B5:H40">
    <sortCondition ref="F5:F40"/>
  </sortState>
  <conditionalFormatting sqref="G5:G40">
    <cfRule type="cellIs" dxfId="5" priority="1" operator="greaterThanOrEqual">
      <formula>0.6</formula>
    </cfRule>
    <cfRule type="cellIs" dxfId="4" priority="2" operator="lessThan">
      <formula>0.4</formula>
    </cfRule>
    <cfRule type="cellIs" dxfId="3" priority="3" operator="between">
      <formula>0.4</formula>
      <formula>0.6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6E5A-1F2D-430B-AC25-EADC885887C7}">
  <dimension ref="B2:J41"/>
  <sheetViews>
    <sheetView workbookViewId="0">
      <selection activeCell="B2" sqref="B2:J2"/>
    </sheetView>
  </sheetViews>
  <sheetFormatPr defaultRowHeight="14.5" x14ac:dyDescent="0.35"/>
  <cols>
    <col min="2" max="2" width="7.6328125" customWidth="1"/>
    <col min="3" max="3" width="17.26953125" customWidth="1"/>
    <col min="4" max="5" width="14.54296875" customWidth="1"/>
    <col min="6" max="6" width="12.7265625" customWidth="1"/>
    <col min="7" max="7" width="14.54296875" customWidth="1"/>
    <col min="8" max="8" width="12.7265625" customWidth="1"/>
    <col min="9" max="9" width="13.08984375" customWidth="1"/>
    <col min="10" max="10" width="11.26953125" customWidth="1"/>
  </cols>
  <sheetData>
    <row r="2" spans="2:10" ht="28" customHeight="1" x14ac:dyDescent="0.35">
      <c r="B2" s="168" t="s">
        <v>164</v>
      </c>
      <c r="C2" s="168"/>
      <c r="D2" s="168"/>
      <c r="E2" s="168"/>
      <c r="F2" s="168"/>
      <c r="G2" s="168"/>
      <c r="H2" s="168"/>
      <c r="I2" s="168"/>
      <c r="J2" s="168"/>
    </row>
    <row r="3" spans="2:10" ht="34" customHeight="1" x14ac:dyDescent="0.35">
      <c r="B3" s="88" t="s">
        <v>0</v>
      </c>
      <c r="C3" s="89" t="s">
        <v>1</v>
      </c>
      <c r="D3" s="89" t="s">
        <v>139</v>
      </c>
      <c r="E3" s="89" t="s">
        <v>2</v>
      </c>
      <c r="F3" s="89" t="s">
        <v>3</v>
      </c>
      <c r="G3" s="89" t="s">
        <v>4</v>
      </c>
      <c r="H3" s="89" t="s">
        <v>5</v>
      </c>
      <c r="I3" s="89" t="s">
        <v>6</v>
      </c>
      <c r="J3" s="90" t="s">
        <v>79</v>
      </c>
    </row>
    <row r="4" spans="2:10" x14ac:dyDescent="0.35">
      <c r="B4" s="63" t="s">
        <v>55</v>
      </c>
      <c r="C4" s="64" t="s">
        <v>56</v>
      </c>
      <c r="D4" s="65">
        <v>60704</v>
      </c>
      <c r="E4" s="65">
        <v>43085</v>
      </c>
      <c r="F4" s="91">
        <f>E4/D4</f>
        <v>0.70975553505535061</v>
      </c>
      <c r="G4" s="65">
        <v>23840</v>
      </c>
      <c r="H4" s="66">
        <f>G4/E4</f>
        <v>0.55332482302425434</v>
      </c>
      <c r="I4" s="67">
        <v>5539</v>
      </c>
      <c r="J4" s="68">
        <v>1</v>
      </c>
    </row>
    <row r="5" spans="2:10" x14ac:dyDescent="0.35">
      <c r="B5" s="63" t="s">
        <v>67</v>
      </c>
      <c r="C5" s="64" t="s">
        <v>68</v>
      </c>
      <c r="D5" s="65">
        <v>27790</v>
      </c>
      <c r="E5" s="65">
        <v>18416</v>
      </c>
      <c r="F5" s="91">
        <f t="shared" ref="F5:F39" si="0">E5/D5</f>
        <v>0.66268441885570351</v>
      </c>
      <c r="G5" s="65">
        <v>10921</v>
      </c>
      <c r="H5" s="66">
        <f t="shared" ref="H5:H39" si="1">G5/E5</f>
        <v>0.59301694178974806</v>
      </c>
      <c r="I5" s="67">
        <v>3426</v>
      </c>
      <c r="J5" s="68">
        <v>2</v>
      </c>
    </row>
    <row r="6" spans="2:10" x14ac:dyDescent="0.35">
      <c r="B6" s="63" t="s">
        <v>73</v>
      </c>
      <c r="C6" s="64" t="s">
        <v>74</v>
      </c>
      <c r="D6" s="65">
        <v>29648</v>
      </c>
      <c r="E6" s="65">
        <v>20186</v>
      </c>
      <c r="F6" s="91">
        <f t="shared" si="0"/>
        <v>0.68085536967080407</v>
      </c>
      <c r="G6" s="65">
        <v>11653</v>
      </c>
      <c r="H6" s="66">
        <f t="shared" si="1"/>
        <v>0.57728128405825818</v>
      </c>
      <c r="I6" s="67">
        <v>3120</v>
      </c>
      <c r="J6" s="68">
        <v>3</v>
      </c>
    </row>
    <row r="7" spans="2:10" x14ac:dyDescent="0.35">
      <c r="B7" s="63" t="s">
        <v>45</v>
      </c>
      <c r="C7" s="64" t="s">
        <v>46</v>
      </c>
      <c r="D7" s="65">
        <v>30478</v>
      </c>
      <c r="E7" s="65">
        <v>21682</v>
      </c>
      <c r="F7" s="91">
        <f t="shared" si="0"/>
        <v>0.71139838572084779</v>
      </c>
      <c r="G7" s="65">
        <v>11661</v>
      </c>
      <c r="H7" s="66">
        <f t="shared" si="1"/>
        <v>0.53781938935522555</v>
      </c>
      <c r="I7" s="67">
        <v>1640</v>
      </c>
      <c r="J7" s="68">
        <v>4</v>
      </c>
    </row>
    <row r="8" spans="2:10" x14ac:dyDescent="0.35">
      <c r="B8" s="63" t="s">
        <v>15</v>
      </c>
      <c r="C8" s="64" t="s">
        <v>16</v>
      </c>
      <c r="D8" s="65">
        <v>30287</v>
      </c>
      <c r="E8" s="65">
        <v>19781</v>
      </c>
      <c r="F8" s="91">
        <f t="shared" si="0"/>
        <v>0.65311849968633406</v>
      </c>
      <c r="G8" s="65">
        <v>10312</v>
      </c>
      <c r="H8" s="66">
        <f t="shared" si="1"/>
        <v>0.52130832617157874</v>
      </c>
      <c r="I8" s="67">
        <v>843</v>
      </c>
      <c r="J8" s="68">
        <v>5</v>
      </c>
    </row>
    <row r="9" spans="2:10" x14ac:dyDescent="0.35">
      <c r="B9" s="69" t="s">
        <v>35</v>
      </c>
      <c r="C9" s="70" t="s">
        <v>36</v>
      </c>
      <c r="D9" s="71">
        <v>13408</v>
      </c>
      <c r="E9" s="71">
        <v>9020</v>
      </c>
      <c r="F9" s="92">
        <f t="shared" si="0"/>
        <v>0.67273269689737469</v>
      </c>
      <c r="G9" s="71">
        <v>4471</v>
      </c>
      <c r="H9" s="72">
        <f t="shared" si="1"/>
        <v>0.49567627494456762</v>
      </c>
      <c r="I9" s="73">
        <v>-78</v>
      </c>
      <c r="J9" s="74">
        <v>6</v>
      </c>
    </row>
    <row r="10" spans="2:10" x14ac:dyDescent="0.35">
      <c r="B10" s="69" t="s">
        <v>61</v>
      </c>
      <c r="C10" s="70" t="s">
        <v>62</v>
      </c>
      <c r="D10" s="71">
        <v>16510</v>
      </c>
      <c r="E10" s="71">
        <v>11603</v>
      </c>
      <c r="F10" s="92">
        <f t="shared" si="0"/>
        <v>0.702786190187765</v>
      </c>
      <c r="G10" s="71">
        <v>5734</v>
      </c>
      <c r="H10" s="72">
        <f t="shared" si="1"/>
        <v>0.49418253899853487</v>
      </c>
      <c r="I10" s="73">
        <v>-135</v>
      </c>
      <c r="J10" s="74">
        <v>7</v>
      </c>
    </row>
    <row r="11" spans="2:10" x14ac:dyDescent="0.35">
      <c r="B11" s="75" t="s">
        <v>33</v>
      </c>
      <c r="C11" s="76" t="s">
        <v>34</v>
      </c>
      <c r="D11" s="77">
        <v>20992</v>
      </c>
      <c r="E11" s="77">
        <v>14858</v>
      </c>
      <c r="F11" s="93">
        <f t="shared" si="0"/>
        <v>0.70779344512195119</v>
      </c>
      <c r="G11" s="77">
        <v>5725</v>
      </c>
      <c r="H11" s="78">
        <f t="shared" si="1"/>
        <v>0.38531430878987749</v>
      </c>
      <c r="I11" s="79">
        <v>-329</v>
      </c>
      <c r="J11" s="80">
        <v>8</v>
      </c>
    </row>
    <row r="12" spans="2:10" x14ac:dyDescent="0.35">
      <c r="B12" s="69" t="s">
        <v>37</v>
      </c>
      <c r="C12" s="70" t="s">
        <v>38</v>
      </c>
      <c r="D12" s="71">
        <v>10045</v>
      </c>
      <c r="E12" s="71">
        <v>7052</v>
      </c>
      <c r="F12" s="92">
        <f t="shared" si="0"/>
        <v>0.70204081632653059</v>
      </c>
      <c r="G12" s="71">
        <v>3341</v>
      </c>
      <c r="H12" s="72">
        <f t="shared" si="1"/>
        <v>0.47376630743051618</v>
      </c>
      <c r="I12" s="73">
        <v>-370</v>
      </c>
      <c r="J12" s="74">
        <v>9</v>
      </c>
    </row>
    <row r="13" spans="2:10" x14ac:dyDescent="0.35">
      <c r="B13" s="69" t="s">
        <v>11</v>
      </c>
      <c r="C13" s="70" t="s">
        <v>12</v>
      </c>
      <c r="D13" s="71">
        <v>20206</v>
      </c>
      <c r="E13" s="71">
        <v>13343</v>
      </c>
      <c r="F13" s="92">
        <f t="shared" si="0"/>
        <v>0.66034841136296152</v>
      </c>
      <c r="G13" s="71">
        <v>6404</v>
      </c>
      <c r="H13" s="72">
        <f t="shared" si="1"/>
        <v>0.47995203477478826</v>
      </c>
      <c r="I13" s="73">
        <v>-535</v>
      </c>
      <c r="J13" s="74">
        <v>10</v>
      </c>
    </row>
    <row r="14" spans="2:10" x14ac:dyDescent="0.35">
      <c r="B14" s="69" t="s">
        <v>17</v>
      </c>
      <c r="C14" s="70" t="s">
        <v>18</v>
      </c>
      <c r="D14" s="71">
        <v>23494</v>
      </c>
      <c r="E14" s="71">
        <v>15316</v>
      </c>
      <c r="F14" s="92">
        <f t="shared" si="0"/>
        <v>0.6519111262449987</v>
      </c>
      <c r="G14" s="71">
        <v>7376</v>
      </c>
      <c r="H14" s="72">
        <f t="shared" si="1"/>
        <v>0.48158788195351265</v>
      </c>
      <c r="I14" s="73">
        <v>-564</v>
      </c>
      <c r="J14" s="74">
        <v>11</v>
      </c>
    </row>
    <row r="15" spans="2:10" x14ac:dyDescent="0.35">
      <c r="B15" s="75" t="s">
        <v>13</v>
      </c>
      <c r="C15" s="76" t="s">
        <v>14</v>
      </c>
      <c r="D15" s="77">
        <v>13163</v>
      </c>
      <c r="E15" s="77">
        <v>8983</v>
      </c>
      <c r="F15" s="93">
        <f t="shared" si="0"/>
        <v>0.68244321203373093</v>
      </c>
      <c r="G15" s="77">
        <v>4021</v>
      </c>
      <c r="H15" s="78">
        <f t="shared" si="1"/>
        <v>0.44762328843370813</v>
      </c>
      <c r="I15" s="79">
        <v>-577</v>
      </c>
      <c r="J15" s="80">
        <v>12</v>
      </c>
    </row>
    <row r="16" spans="2:10" x14ac:dyDescent="0.35">
      <c r="B16" s="69" t="s">
        <v>39</v>
      </c>
      <c r="C16" s="70" t="s">
        <v>40</v>
      </c>
      <c r="D16" s="71">
        <v>9886</v>
      </c>
      <c r="E16" s="71">
        <v>6786</v>
      </c>
      <c r="F16" s="92">
        <f t="shared" si="0"/>
        <v>0.68642524782520742</v>
      </c>
      <c r="G16" s="71">
        <v>3062</v>
      </c>
      <c r="H16" s="72">
        <f t="shared" si="1"/>
        <v>0.45122310639552021</v>
      </c>
      <c r="I16" s="73">
        <v>-662</v>
      </c>
      <c r="J16" s="74">
        <v>13</v>
      </c>
    </row>
    <row r="17" spans="2:10" x14ac:dyDescent="0.35">
      <c r="B17" s="69" t="s">
        <v>23</v>
      </c>
      <c r="C17" s="70" t="s">
        <v>24</v>
      </c>
      <c r="D17" s="71">
        <v>27386</v>
      </c>
      <c r="E17" s="71">
        <v>19799</v>
      </c>
      <c r="F17" s="92">
        <f t="shared" si="0"/>
        <v>0.72296063682173373</v>
      </c>
      <c r="G17" s="71">
        <v>9355</v>
      </c>
      <c r="H17" s="72">
        <f t="shared" si="1"/>
        <v>0.47249861104096169</v>
      </c>
      <c r="I17" s="73">
        <v>-685</v>
      </c>
      <c r="J17" s="74">
        <v>14</v>
      </c>
    </row>
    <row r="18" spans="2:10" x14ac:dyDescent="0.35">
      <c r="B18" s="69" t="s">
        <v>19</v>
      </c>
      <c r="C18" s="70" t="s">
        <v>20</v>
      </c>
      <c r="D18" s="71">
        <v>16332</v>
      </c>
      <c r="E18" s="71">
        <v>10231</v>
      </c>
      <c r="F18" s="92">
        <f t="shared" si="0"/>
        <v>0.62643889297085475</v>
      </c>
      <c r="G18" s="71">
        <v>4769</v>
      </c>
      <c r="H18" s="72">
        <f t="shared" si="1"/>
        <v>0.46613234287948391</v>
      </c>
      <c r="I18" s="73">
        <v>-693</v>
      </c>
      <c r="J18" s="74">
        <v>15</v>
      </c>
    </row>
    <row r="19" spans="2:10" x14ac:dyDescent="0.35">
      <c r="B19" s="75" t="s">
        <v>41</v>
      </c>
      <c r="C19" s="76" t="s">
        <v>42</v>
      </c>
      <c r="D19" s="77">
        <v>17692</v>
      </c>
      <c r="E19" s="77">
        <v>11365</v>
      </c>
      <c r="F19" s="93">
        <f t="shared" si="0"/>
        <v>0.64238073705629661</v>
      </c>
      <c r="G19" s="77">
        <v>5143</v>
      </c>
      <c r="H19" s="78">
        <f t="shared" si="1"/>
        <v>0.45252969643642765</v>
      </c>
      <c r="I19" s="79">
        <v>-1079</v>
      </c>
      <c r="J19" s="80">
        <v>16</v>
      </c>
    </row>
    <row r="20" spans="2:10" x14ac:dyDescent="0.35">
      <c r="B20" s="69" t="s">
        <v>69</v>
      </c>
      <c r="C20" s="70" t="s">
        <v>70</v>
      </c>
      <c r="D20" s="71">
        <v>20696</v>
      </c>
      <c r="E20" s="71">
        <v>12203</v>
      </c>
      <c r="F20" s="92">
        <f t="shared" si="0"/>
        <v>0.58963084654039433</v>
      </c>
      <c r="G20" s="71">
        <v>6371</v>
      </c>
      <c r="H20" s="72">
        <f t="shared" si="1"/>
        <v>0.52208473326231253</v>
      </c>
      <c r="I20" s="73">
        <v>-1461</v>
      </c>
      <c r="J20" s="74">
        <v>17</v>
      </c>
    </row>
    <row r="21" spans="2:10" x14ac:dyDescent="0.35">
      <c r="B21" s="69" t="s">
        <v>43</v>
      </c>
      <c r="C21" s="70" t="s">
        <v>44</v>
      </c>
      <c r="D21" s="71">
        <v>12313</v>
      </c>
      <c r="E21" s="71">
        <v>8339</v>
      </c>
      <c r="F21" s="92">
        <f t="shared" si="0"/>
        <v>0.67725168521075285</v>
      </c>
      <c r="G21" s="71">
        <v>3111</v>
      </c>
      <c r="H21" s="72">
        <f t="shared" si="1"/>
        <v>0.373066314905864</v>
      </c>
      <c r="I21" s="73">
        <v>-2117</v>
      </c>
      <c r="J21" s="74">
        <v>18</v>
      </c>
    </row>
    <row r="22" spans="2:10" x14ac:dyDescent="0.35">
      <c r="B22" s="75" t="s">
        <v>7</v>
      </c>
      <c r="C22" s="76" t="s">
        <v>8</v>
      </c>
      <c r="D22" s="77">
        <v>14554</v>
      </c>
      <c r="E22" s="77">
        <v>9576</v>
      </c>
      <c r="F22" s="93">
        <f t="shared" si="0"/>
        <v>0.65796344647519578</v>
      </c>
      <c r="G22" s="77">
        <v>3688</v>
      </c>
      <c r="H22" s="78">
        <f t="shared" si="1"/>
        <v>0.38512949039264827</v>
      </c>
      <c r="I22" s="79">
        <v>-2200</v>
      </c>
      <c r="J22" s="80">
        <v>19</v>
      </c>
    </row>
    <row r="23" spans="2:10" x14ac:dyDescent="0.35">
      <c r="B23" s="69" t="s">
        <v>75</v>
      </c>
      <c r="C23" s="70" t="s">
        <v>76</v>
      </c>
      <c r="D23" s="71">
        <v>24602</v>
      </c>
      <c r="E23" s="71">
        <v>15376</v>
      </c>
      <c r="F23" s="92">
        <f t="shared" si="0"/>
        <v>0.62498983822453458</v>
      </c>
      <c r="G23" s="71">
        <v>6471</v>
      </c>
      <c r="H23" s="72">
        <f t="shared" si="1"/>
        <v>0.4208506763787721</v>
      </c>
      <c r="I23" s="73">
        <v>-2434</v>
      </c>
      <c r="J23" s="74">
        <v>20</v>
      </c>
    </row>
    <row r="24" spans="2:10" x14ac:dyDescent="0.35">
      <c r="B24" s="75" t="s">
        <v>31</v>
      </c>
      <c r="C24" s="76" t="s">
        <v>32</v>
      </c>
      <c r="D24" s="77">
        <v>32343</v>
      </c>
      <c r="E24" s="77">
        <v>23220</v>
      </c>
      <c r="F24" s="93">
        <f t="shared" si="0"/>
        <v>0.71792969112327243</v>
      </c>
      <c r="G24" s="77">
        <v>10068</v>
      </c>
      <c r="H24" s="78">
        <f t="shared" si="1"/>
        <v>0.43359173126614986</v>
      </c>
      <c r="I24" s="79">
        <v>-2662</v>
      </c>
      <c r="J24" s="80">
        <v>21</v>
      </c>
    </row>
    <row r="25" spans="2:10" x14ac:dyDescent="0.35">
      <c r="B25" s="69" t="s">
        <v>9</v>
      </c>
      <c r="C25" s="70" t="s">
        <v>10</v>
      </c>
      <c r="D25" s="71">
        <v>12897</v>
      </c>
      <c r="E25" s="71">
        <v>8478</v>
      </c>
      <c r="F25" s="92">
        <f t="shared" si="0"/>
        <v>0.65736217725052337</v>
      </c>
      <c r="G25" s="71">
        <v>2844</v>
      </c>
      <c r="H25" s="72">
        <f t="shared" si="1"/>
        <v>0.3354564755838641</v>
      </c>
      <c r="I25" s="73">
        <v>-2790</v>
      </c>
      <c r="J25" s="74">
        <v>22</v>
      </c>
    </row>
    <row r="26" spans="2:10" x14ac:dyDescent="0.35">
      <c r="B26" s="75" t="s">
        <v>29</v>
      </c>
      <c r="C26" s="76" t="s">
        <v>30</v>
      </c>
      <c r="D26" s="77">
        <v>13085</v>
      </c>
      <c r="E26" s="77">
        <v>8992</v>
      </c>
      <c r="F26" s="93">
        <f t="shared" si="0"/>
        <v>0.68719908291937337</v>
      </c>
      <c r="G26" s="77">
        <v>2642</v>
      </c>
      <c r="H26" s="78">
        <f t="shared" si="1"/>
        <v>0.29381672597864766</v>
      </c>
      <c r="I26" s="79">
        <v>-3068</v>
      </c>
      <c r="J26" s="80">
        <v>23</v>
      </c>
    </row>
    <row r="27" spans="2:10" x14ac:dyDescent="0.35">
      <c r="B27" s="75" t="s">
        <v>71</v>
      </c>
      <c r="C27" s="76" t="s">
        <v>72</v>
      </c>
      <c r="D27" s="77">
        <v>19431</v>
      </c>
      <c r="E27" s="77">
        <v>12482</v>
      </c>
      <c r="F27" s="93">
        <f t="shared" si="0"/>
        <v>0.64237558540476558</v>
      </c>
      <c r="G27" s="77">
        <v>4243</v>
      </c>
      <c r="H27" s="78">
        <f t="shared" si="1"/>
        <v>0.33992949847780807</v>
      </c>
      <c r="I27" s="79">
        <v>-3996</v>
      </c>
      <c r="J27" s="80">
        <v>24</v>
      </c>
    </row>
    <row r="28" spans="2:10" x14ac:dyDescent="0.35">
      <c r="B28" s="69" t="s">
        <v>57</v>
      </c>
      <c r="C28" s="70" t="s">
        <v>58</v>
      </c>
      <c r="D28" s="71">
        <v>25625</v>
      </c>
      <c r="E28" s="71">
        <v>18187</v>
      </c>
      <c r="F28" s="92">
        <f t="shared" si="0"/>
        <v>0.70973658536585371</v>
      </c>
      <c r="G28" s="71">
        <v>6926</v>
      </c>
      <c r="H28" s="72">
        <f t="shared" si="1"/>
        <v>0.38082146588222354</v>
      </c>
      <c r="I28" s="73">
        <v>-4335</v>
      </c>
      <c r="J28" s="74">
        <v>25</v>
      </c>
    </row>
    <row r="29" spans="2:10" x14ac:dyDescent="0.35">
      <c r="B29" s="75" t="s">
        <v>77</v>
      </c>
      <c r="C29" s="76" t="s">
        <v>78</v>
      </c>
      <c r="D29" s="77">
        <v>27284</v>
      </c>
      <c r="E29" s="77">
        <v>17064</v>
      </c>
      <c r="F29" s="93">
        <f t="shared" si="0"/>
        <v>0.6254214924497874</v>
      </c>
      <c r="G29" s="77">
        <v>5557</v>
      </c>
      <c r="H29" s="78">
        <f t="shared" si="1"/>
        <v>0.32565635255508674</v>
      </c>
      <c r="I29" s="79">
        <v>-5950</v>
      </c>
      <c r="J29" s="80">
        <v>26</v>
      </c>
    </row>
    <row r="30" spans="2:10" x14ac:dyDescent="0.35">
      <c r="B30" s="75" t="s">
        <v>63</v>
      </c>
      <c r="C30" s="76" t="s">
        <v>64</v>
      </c>
      <c r="D30" s="77">
        <v>15095</v>
      </c>
      <c r="E30" s="77">
        <v>10046</v>
      </c>
      <c r="F30" s="93">
        <f t="shared" si="0"/>
        <v>0.6655183835707188</v>
      </c>
      <c r="G30" s="77">
        <v>1874</v>
      </c>
      <c r="H30" s="78">
        <f t="shared" si="1"/>
        <v>0.18654190722675693</v>
      </c>
      <c r="I30" s="79">
        <v>-6298</v>
      </c>
      <c r="J30" s="80">
        <v>27</v>
      </c>
    </row>
    <row r="31" spans="2:10" x14ac:dyDescent="0.35">
      <c r="B31" s="75" t="s">
        <v>49</v>
      </c>
      <c r="C31" s="76" t="s">
        <v>50</v>
      </c>
      <c r="D31" s="77">
        <v>20182</v>
      </c>
      <c r="E31" s="77">
        <v>13304</v>
      </c>
      <c r="F31" s="93">
        <f t="shared" si="0"/>
        <v>0.65920126845704097</v>
      </c>
      <c r="G31" s="77">
        <v>3436</v>
      </c>
      <c r="H31" s="78">
        <f t="shared" si="1"/>
        <v>0.25826819001803969</v>
      </c>
      <c r="I31" s="79">
        <v>-6432</v>
      </c>
      <c r="J31" s="80">
        <v>28</v>
      </c>
    </row>
    <row r="32" spans="2:10" x14ac:dyDescent="0.35">
      <c r="B32" s="75" t="s">
        <v>21</v>
      </c>
      <c r="C32" s="76" t="s">
        <v>22</v>
      </c>
      <c r="D32" s="77">
        <v>25769</v>
      </c>
      <c r="E32" s="77">
        <v>15470</v>
      </c>
      <c r="F32" s="93">
        <f t="shared" si="0"/>
        <v>0.60033373433194925</v>
      </c>
      <c r="G32" s="77">
        <v>3531</v>
      </c>
      <c r="H32" s="78">
        <f t="shared" si="1"/>
        <v>0.22824822236586942</v>
      </c>
      <c r="I32" s="79">
        <v>-8408</v>
      </c>
      <c r="J32" s="80">
        <v>29</v>
      </c>
    </row>
    <row r="33" spans="2:10" x14ac:dyDescent="0.35">
      <c r="B33" s="75" t="s">
        <v>65</v>
      </c>
      <c r="C33" s="76" t="s">
        <v>66</v>
      </c>
      <c r="D33" s="77">
        <v>26806</v>
      </c>
      <c r="E33" s="77">
        <v>17257</v>
      </c>
      <c r="F33" s="93">
        <f t="shared" si="0"/>
        <v>0.64377378198910695</v>
      </c>
      <c r="G33" s="77">
        <v>3561</v>
      </c>
      <c r="H33" s="78">
        <f t="shared" si="1"/>
        <v>0.20635104595236717</v>
      </c>
      <c r="I33" s="79">
        <v>-10135</v>
      </c>
      <c r="J33" s="80">
        <v>30</v>
      </c>
    </row>
    <row r="34" spans="2:10" x14ac:dyDescent="0.35">
      <c r="B34" s="69" t="s">
        <v>59</v>
      </c>
      <c r="C34" s="70" t="s">
        <v>60</v>
      </c>
      <c r="D34" s="71">
        <v>32890</v>
      </c>
      <c r="E34" s="71">
        <v>23634</v>
      </c>
      <c r="F34" s="92">
        <f t="shared" si="0"/>
        <v>0.71857707509881419</v>
      </c>
      <c r="G34" s="71">
        <v>6677</v>
      </c>
      <c r="H34" s="72">
        <f t="shared" si="1"/>
        <v>0.2825167132097825</v>
      </c>
      <c r="I34" s="73">
        <v>-10280</v>
      </c>
      <c r="J34" s="74">
        <v>31</v>
      </c>
    </row>
    <row r="35" spans="2:10" x14ac:dyDescent="0.35">
      <c r="B35" s="75" t="s">
        <v>25</v>
      </c>
      <c r="C35" s="76" t="s">
        <v>26</v>
      </c>
      <c r="D35" s="77">
        <v>42168</v>
      </c>
      <c r="E35" s="77">
        <v>28864</v>
      </c>
      <c r="F35" s="93">
        <f t="shared" si="0"/>
        <v>0.68450009485866059</v>
      </c>
      <c r="G35" s="77">
        <v>8244</v>
      </c>
      <c r="H35" s="78">
        <f t="shared" si="1"/>
        <v>0.28561529933481156</v>
      </c>
      <c r="I35" s="79">
        <v>-10889</v>
      </c>
      <c r="J35" s="80">
        <v>32</v>
      </c>
    </row>
    <row r="36" spans="2:10" x14ac:dyDescent="0.35">
      <c r="B36" s="75" t="s">
        <v>53</v>
      </c>
      <c r="C36" s="76" t="s">
        <v>54</v>
      </c>
      <c r="D36" s="77">
        <v>32290</v>
      </c>
      <c r="E36" s="77">
        <v>21457</v>
      </c>
      <c r="F36" s="93">
        <f t="shared" si="0"/>
        <v>0.66450913595540417</v>
      </c>
      <c r="G36" s="77">
        <v>4377</v>
      </c>
      <c r="H36" s="78">
        <f t="shared" si="1"/>
        <v>0.20398937409703127</v>
      </c>
      <c r="I36" s="79">
        <v>-12703</v>
      </c>
      <c r="J36" s="80">
        <v>33</v>
      </c>
    </row>
    <row r="37" spans="2:10" x14ac:dyDescent="0.35">
      <c r="B37" s="75" t="s">
        <v>27</v>
      </c>
      <c r="C37" s="76" t="s">
        <v>28</v>
      </c>
      <c r="D37" s="77">
        <v>23193</v>
      </c>
      <c r="E37" s="77">
        <v>15210</v>
      </c>
      <c r="F37" s="93">
        <f t="shared" si="0"/>
        <v>0.65580131936360109</v>
      </c>
      <c r="G37" s="77">
        <v>853</v>
      </c>
      <c r="H37" s="78">
        <f t="shared" si="1"/>
        <v>5.6081525312294545E-2</v>
      </c>
      <c r="I37" s="79">
        <v>-13504</v>
      </c>
      <c r="J37" s="80">
        <v>34</v>
      </c>
    </row>
    <row r="38" spans="2:10" x14ac:dyDescent="0.35">
      <c r="B38" s="75" t="s">
        <v>51</v>
      </c>
      <c r="C38" s="76" t="s">
        <v>52</v>
      </c>
      <c r="D38" s="77">
        <v>28952</v>
      </c>
      <c r="E38" s="77">
        <v>19301</v>
      </c>
      <c r="F38" s="93">
        <f t="shared" si="0"/>
        <v>0.66665515335728098</v>
      </c>
      <c r="G38" s="77">
        <v>2099</v>
      </c>
      <c r="H38" s="78">
        <f t="shared" si="1"/>
        <v>0.10875084192528885</v>
      </c>
      <c r="I38" s="79">
        <v>-14940</v>
      </c>
      <c r="J38" s="80">
        <v>35</v>
      </c>
    </row>
    <row r="39" spans="2:10" x14ac:dyDescent="0.35">
      <c r="B39" s="81" t="s">
        <v>47</v>
      </c>
      <c r="C39" s="82" t="s">
        <v>48</v>
      </c>
      <c r="D39" s="83">
        <v>46229</v>
      </c>
      <c r="E39" s="83">
        <v>30489</v>
      </c>
      <c r="F39" s="94">
        <f t="shared" si="0"/>
        <v>0.65952107984165786</v>
      </c>
      <c r="G39" s="83">
        <v>4942</v>
      </c>
      <c r="H39" s="84">
        <f t="shared" si="1"/>
        <v>0.16209124602315589</v>
      </c>
      <c r="I39" s="85">
        <v>-19684</v>
      </c>
      <c r="J39" s="86">
        <v>36</v>
      </c>
    </row>
    <row r="41" spans="2:10" x14ac:dyDescent="0.35">
      <c r="C41" s="87" t="s">
        <v>169</v>
      </c>
      <c r="D41" s="60" t="s">
        <v>170</v>
      </c>
      <c r="E41" s="61" t="s">
        <v>171</v>
      </c>
      <c r="F41" s="62" t="s">
        <v>172</v>
      </c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0808-D7B4-4983-9E73-26675B84116F}">
  <dimension ref="B2:Y72"/>
  <sheetViews>
    <sheetView topLeftCell="A3" zoomScale="70" zoomScaleNormal="70" workbookViewId="0">
      <selection activeCell="T12" sqref="T12"/>
    </sheetView>
  </sheetViews>
  <sheetFormatPr defaultRowHeight="14.5" x14ac:dyDescent="0.35"/>
  <cols>
    <col min="2" max="2" width="7.6328125" customWidth="1"/>
    <col min="3" max="3" width="16.7265625" customWidth="1"/>
    <col min="4" max="4" width="14.1796875" customWidth="1"/>
    <col min="5" max="5" width="11.26953125" customWidth="1"/>
    <col min="6" max="13" width="11.6328125" customWidth="1"/>
    <col min="14" max="14" width="12" customWidth="1"/>
    <col min="16" max="16" width="14" customWidth="1"/>
  </cols>
  <sheetData>
    <row r="2" spans="2:25" ht="28" customHeight="1" x14ac:dyDescent="0.35">
      <c r="B2" s="171" t="s">
        <v>165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2:25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25" ht="34" customHeight="1" x14ac:dyDescent="0.35">
      <c r="B4" s="20" t="s">
        <v>0</v>
      </c>
      <c r="C4" s="19" t="s">
        <v>1</v>
      </c>
      <c r="D4" s="19" t="s">
        <v>140</v>
      </c>
      <c r="E4" s="19" t="s">
        <v>138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136</v>
      </c>
      <c r="K4" s="19" t="s">
        <v>135</v>
      </c>
      <c r="L4" s="19" t="s">
        <v>129</v>
      </c>
      <c r="M4" s="19" t="s">
        <v>130</v>
      </c>
      <c r="N4" s="21" t="s">
        <v>137</v>
      </c>
    </row>
    <row r="5" spans="2:25" x14ac:dyDescent="0.35">
      <c r="B5" s="34" t="s">
        <v>7</v>
      </c>
      <c r="C5" s="26" t="s">
        <v>8</v>
      </c>
      <c r="D5" s="58">
        <v>14427</v>
      </c>
      <c r="E5" s="26">
        <f t="shared" ref="E5:E40" si="0">RANK(D5,$D$5:$D$40)</f>
        <v>29</v>
      </c>
      <c r="F5" s="58">
        <v>6630</v>
      </c>
      <c r="G5" s="27">
        <f t="shared" ref="G5:G40" si="1">F5/$D5</f>
        <v>0.45955500103971719</v>
      </c>
      <c r="H5" s="58">
        <v>318</v>
      </c>
      <c r="I5" s="27">
        <f t="shared" ref="I5:I40" si="2">H5/$D5</f>
        <v>2.2042004574755667E-2</v>
      </c>
      <c r="J5" s="58">
        <v>0</v>
      </c>
      <c r="K5" s="27">
        <f t="shared" ref="K5:K40" si="3">J5/$D5</f>
        <v>0</v>
      </c>
      <c r="L5" s="58">
        <v>7479</v>
      </c>
      <c r="M5" s="24">
        <f t="shared" ref="M5:M40" si="4">L5/$D5</f>
        <v>0.51840299438552717</v>
      </c>
      <c r="N5" s="37">
        <f t="shared" ref="N5:N40" si="5">RANK(M5,$M$5:$M$40)</f>
        <v>24</v>
      </c>
      <c r="O5" s="5"/>
      <c r="P5" s="5"/>
      <c r="Q5" s="6"/>
      <c r="R5" s="7"/>
      <c r="S5" s="7"/>
      <c r="T5" s="7"/>
      <c r="U5" s="7"/>
      <c r="V5" s="7"/>
      <c r="W5" s="7"/>
      <c r="X5" s="7"/>
      <c r="Y5" s="7"/>
    </row>
    <row r="6" spans="2:25" x14ac:dyDescent="0.35">
      <c r="B6" s="33" t="s">
        <v>9</v>
      </c>
      <c r="C6" s="22" t="s">
        <v>10</v>
      </c>
      <c r="D6" s="57">
        <v>12880</v>
      </c>
      <c r="E6" s="22">
        <f t="shared" si="0"/>
        <v>33</v>
      </c>
      <c r="F6" s="57">
        <v>2842</v>
      </c>
      <c r="G6" s="23">
        <f t="shared" si="1"/>
        <v>0.22065217391304348</v>
      </c>
      <c r="H6" s="57">
        <v>837</v>
      </c>
      <c r="I6" s="23">
        <f t="shared" si="2"/>
        <v>6.4984472049689435E-2</v>
      </c>
      <c r="J6" s="57">
        <v>0</v>
      </c>
      <c r="K6" s="23">
        <f t="shared" si="3"/>
        <v>0</v>
      </c>
      <c r="L6" s="57">
        <v>9201</v>
      </c>
      <c r="M6" s="24">
        <f t="shared" si="4"/>
        <v>0.71436335403726703</v>
      </c>
      <c r="N6" s="36">
        <f t="shared" si="5"/>
        <v>17</v>
      </c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</row>
    <row r="7" spans="2:25" x14ac:dyDescent="0.35">
      <c r="B7" s="33" t="s">
        <v>11</v>
      </c>
      <c r="C7" s="22" t="s">
        <v>12</v>
      </c>
      <c r="D7" s="57">
        <v>19711</v>
      </c>
      <c r="E7" s="22">
        <f t="shared" si="0"/>
        <v>22</v>
      </c>
      <c r="F7" s="57">
        <v>1417</v>
      </c>
      <c r="G7" s="23">
        <f t="shared" si="1"/>
        <v>7.1888793059712852E-2</v>
      </c>
      <c r="H7" s="57">
        <v>1573</v>
      </c>
      <c r="I7" s="23">
        <f t="shared" si="2"/>
        <v>7.9803155598396833E-2</v>
      </c>
      <c r="J7" s="57">
        <v>0</v>
      </c>
      <c r="K7" s="23">
        <f t="shared" si="3"/>
        <v>0</v>
      </c>
      <c r="L7" s="57">
        <v>16721</v>
      </c>
      <c r="M7" s="24">
        <f t="shared" si="4"/>
        <v>0.84830805134189036</v>
      </c>
      <c r="N7" s="36">
        <f t="shared" si="5"/>
        <v>5</v>
      </c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</row>
    <row r="8" spans="2:25" x14ac:dyDescent="0.35">
      <c r="B8" s="34" t="s">
        <v>13</v>
      </c>
      <c r="C8" s="26" t="s">
        <v>14</v>
      </c>
      <c r="D8" s="58">
        <v>13329</v>
      </c>
      <c r="E8" s="26">
        <f t="shared" si="0"/>
        <v>31</v>
      </c>
      <c r="F8" s="58">
        <v>3818</v>
      </c>
      <c r="G8" s="27">
        <f t="shared" si="1"/>
        <v>0.28644309400555179</v>
      </c>
      <c r="H8" s="58">
        <v>465</v>
      </c>
      <c r="I8" s="27">
        <f t="shared" si="2"/>
        <v>3.4886338059869459E-2</v>
      </c>
      <c r="J8" s="58">
        <v>2</v>
      </c>
      <c r="K8" s="27">
        <f t="shared" si="3"/>
        <v>1.5004876584890088E-4</v>
      </c>
      <c r="L8" s="58">
        <v>9044</v>
      </c>
      <c r="M8" s="24">
        <f t="shared" si="4"/>
        <v>0.6785205191687298</v>
      </c>
      <c r="N8" s="37">
        <f t="shared" si="5"/>
        <v>18</v>
      </c>
      <c r="O8" s="169"/>
      <c r="P8" s="169"/>
      <c r="Q8" s="8"/>
      <c r="R8" s="8"/>
      <c r="S8" s="8"/>
      <c r="T8" s="8"/>
      <c r="U8" s="8"/>
      <c r="V8" s="8"/>
      <c r="W8" s="8"/>
      <c r="X8" s="8"/>
      <c r="Y8" s="169"/>
    </row>
    <row r="9" spans="2:25" x14ac:dyDescent="0.35">
      <c r="B9" s="33" t="s">
        <v>15</v>
      </c>
      <c r="C9" s="22" t="s">
        <v>16</v>
      </c>
      <c r="D9" s="57">
        <v>30593</v>
      </c>
      <c r="E9" s="22">
        <f t="shared" si="0"/>
        <v>8</v>
      </c>
      <c r="F9" s="57">
        <v>3845</v>
      </c>
      <c r="G9" s="23">
        <f t="shared" si="1"/>
        <v>0.1256823456346223</v>
      </c>
      <c r="H9" s="57">
        <v>2426</v>
      </c>
      <c r="I9" s="23">
        <f t="shared" si="2"/>
        <v>7.9299186088320858E-2</v>
      </c>
      <c r="J9" s="57">
        <v>0</v>
      </c>
      <c r="K9" s="23">
        <f t="shared" si="3"/>
        <v>0</v>
      </c>
      <c r="L9" s="57">
        <v>24322</v>
      </c>
      <c r="M9" s="24">
        <f t="shared" si="4"/>
        <v>0.7950184682770568</v>
      </c>
      <c r="N9" s="36">
        <f t="shared" si="5"/>
        <v>11</v>
      </c>
      <c r="O9" s="9"/>
      <c r="P9" s="10"/>
      <c r="Q9" s="11"/>
      <c r="R9" s="9"/>
      <c r="S9" s="11"/>
      <c r="T9" s="9"/>
      <c r="U9" s="9"/>
      <c r="V9" s="9"/>
      <c r="W9" s="9"/>
      <c r="X9" s="9"/>
      <c r="Y9" s="11"/>
    </row>
    <row r="10" spans="2:25" x14ac:dyDescent="0.35">
      <c r="B10" s="34" t="s">
        <v>17</v>
      </c>
      <c r="C10" s="26" t="s">
        <v>18</v>
      </c>
      <c r="D10" s="58">
        <v>23548</v>
      </c>
      <c r="E10" s="26">
        <f t="shared" si="0"/>
        <v>18</v>
      </c>
      <c r="F10" s="58">
        <v>453</v>
      </c>
      <c r="G10" s="27">
        <f t="shared" si="1"/>
        <v>1.9237302531000509E-2</v>
      </c>
      <c r="H10" s="58">
        <v>1204</v>
      </c>
      <c r="I10" s="27">
        <f t="shared" si="2"/>
        <v>5.1129607609988109E-2</v>
      </c>
      <c r="J10" s="58">
        <v>0</v>
      </c>
      <c r="K10" s="27">
        <f t="shared" si="3"/>
        <v>0</v>
      </c>
      <c r="L10" s="58">
        <v>21891</v>
      </c>
      <c r="M10" s="24">
        <f t="shared" si="4"/>
        <v>0.92963308985901139</v>
      </c>
      <c r="N10" s="37">
        <f t="shared" si="5"/>
        <v>2</v>
      </c>
      <c r="O10" s="9"/>
      <c r="P10" s="10"/>
      <c r="Q10" s="11"/>
      <c r="R10" s="9"/>
      <c r="S10" s="11"/>
      <c r="T10" s="9"/>
      <c r="U10" s="9"/>
      <c r="V10" s="9"/>
      <c r="W10" s="9"/>
      <c r="X10" s="9"/>
      <c r="Y10" s="11"/>
    </row>
    <row r="11" spans="2:25" x14ac:dyDescent="0.35">
      <c r="B11" s="33" t="s">
        <v>19</v>
      </c>
      <c r="C11" s="22" t="s">
        <v>20</v>
      </c>
      <c r="D11" s="57">
        <v>16539</v>
      </c>
      <c r="E11" s="22">
        <f t="shared" si="0"/>
        <v>27</v>
      </c>
      <c r="F11" s="57">
        <v>1696</v>
      </c>
      <c r="G11" s="23">
        <f t="shared" si="1"/>
        <v>0.10254549851865288</v>
      </c>
      <c r="H11" s="57">
        <v>5324</v>
      </c>
      <c r="I11" s="23">
        <f t="shared" si="2"/>
        <v>0.32190579841586553</v>
      </c>
      <c r="J11" s="57">
        <v>1</v>
      </c>
      <c r="K11" s="23">
        <f t="shared" si="3"/>
        <v>6.046314771146986E-5</v>
      </c>
      <c r="L11" s="57">
        <v>9518</v>
      </c>
      <c r="M11" s="24">
        <f t="shared" si="4"/>
        <v>0.57548823991777009</v>
      </c>
      <c r="N11" s="36">
        <f t="shared" si="5"/>
        <v>23</v>
      </c>
      <c r="O11" s="9"/>
      <c r="P11" s="10"/>
      <c r="Q11" s="11"/>
      <c r="R11" s="9"/>
      <c r="S11" s="11"/>
      <c r="T11" s="9"/>
      <c r="U11" s="11"/>
      <c r="V11" s="9"/>
      <c r="W11" s="9"/>
      <c r="X11" s="9"/>
      <c r="Y11" s="11"/>
    </row>
    <row r="12" spans="2:25" x14ac:dyDescent="0.35">
      <c r="B12" s="34" t="s">
        <v>21</v>
      </c>
      <c r="C12" s="26" t="s">
        <v>22</v>
      </c>
      <c r="D12" s="58">
        <v>25951</v>
      </c>
      <c r="E12" s="26">
        <f t="shared" si="0"/>
        <v>16</v>
      </c>
      <c r="F12" s="58">
        <v>15122</v>
      </c>
      <c r="G12" s="27">
        <f t="shared" si="1"/>
        <v>0.58271357558475589</v>
      </c>
      <c r="H12" s="58">
        <v>2620</v>
      </c>
      <c r="I12" s="27">
        <f t="shared" si="2"/>
        <v>0.10095950059727948</v>
      </c>
      <c r="J12" s="58">
        <v>0</v>
      </c>
      <c r="K12" s="27">
        <f t="shared" si="3"/>
        <v>0</v>
      </c>
      <c r="L12" s="58">
        <v>8209</v>
      </c>
      <c r="M12" s="24">
        <f t="shared" si="4"/>
        <v>0.31632692381796462</v>
      </c>
      <c r="N12" s="37">
        <f t="shared" si="5"/>
        <v>30</v>
      </c>
      <c r="O12" s="9"/>
      <c r="P12" s="10"/>
      <c r="Q12" s="11"/>
      <c r="R12" s="9"/>
      <c r="S12" s="11"/>
      <c r="T12" s="9"/>
      <c r="U12" s="9"/>
      <c r="V12" s="9"/>
      <c r="W12" s="9"/>
      <c r="X12" s="9"/>
      <c r="Y12" s="11"/>
    </row>
    <row r="13" spans="2:25" x14ac:dyDescent="0.35">
      <c r="B13" s="34" t="s">
        <v>23</v>
      </c>
      <c r="C13" s="26" t="s">
        <v>24</v>
      </c>
      <c r="D13" s="58">
        <v>28671</v>
      </c>
      <c r="E13" s="26">
        <f t="shared" si="0"/>
        <v>11</v>
      </c>
      <c r="F13" s="58">
        <v>4457</v>
      </c>
      <c r="G13" s="27">
        <f t="shared" si="1"/>
        <v>0.15545324543964284</v>
      </c>
      <c r="H13" s="58">
        <v>1400</v>
      </c>
      <c r="I13" s="27">
        <f t="shared" si="2"/>
        <v>4.8829828049248368E-2</v>
      </c>
      <c r="J13" s="58">
        <v>0</v>
      </c>
      <c r="K13" s="27">
        <f t="shared" si="3"/>
        <v>0</v>
      </c>
      <c r="L13" s="58">
        <v>22814</v>
      </c>
      <c r="M13" s="24">
        <f t="shared" si="4"/>
        <v>0.79571692651110881</v>
      </c>
      <c r="N13" s="37">
        <f t="shared" si="5"/>
        <v>10</v>
      </c>
      <c r="O13" s="5"/>
      <c r="P13" s="5"/>
      <c r="Q13" s="6"/>
      <c r="R13" s="7"/>
      <c r="S13" s="7"/>
      <c r="T13" s="7"/>
      <c r="U13" s="7"/>
      <c r="V13" s="7"/>
      <c r="W13" s="7"/>
      <c r="X13" s="7"/>
      <c r="Y13" s="7"/>
    </row>
    <row r="14" spans="2:25" x14ac:dyDescent="0.35">
      <c r="B14" s="33" t="s">
        <v>25</v>
      </c>
      <c r="C14" s="22" t="s">
        <v>26</v>
      </c>
      <c r="D14" s="57">
        <v>45487</v>
      </c>
      <c r="E14" s="22">
        <f t="shared" si="0"/>
        <v>3</v>
      </c>
      <c r="F14" s="57">
        <v>14350</v>
      </c>
      <c r="G14" s="23">
        <f t="shared" si="1"/>
        <v>0.31547475102776618</v>
      </c>
      <c r="H14" s="57">
        <v>8918</v>
      </c>
      <c r="I14" s="23">
        <f t="shared" si="2"/>
        <v>0.19605601600457273</v>
      </c>
      <c r="J14" s="57">
        <v>6</v>
      </c>
      <c r="K14" s="23">
        <f t="shared" si="3"/>
        <v>1.3190581924505903E-4</v>
      </c>
      <c r="L14" s="57">
        <v>22213</v>
      </c>
      <c r="M14" s="24">
        <f t="shared" si="4"/>
        <v>0.48833732714841604</v>
      </c>
      <c r="N14" s="36">
        <f t="shared" si="5"/>
        <v>25</v>
      </c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</row>
    <row r="15" spans="2:25" x14ac:dyDescent="0.35">
      <c r="B15" s="34" t="s">
        <v>27</v>
      </c>
      <c r="C15" s="26" t="s">
        <v>28</v>
      </c>
      <c r="D15" s="58">
        <v>23141</v>
      </c>
      <c r="E15" s="26">
        <f t="shared" si="0"/>
        <v>19</v>
      </c>
      <c r="F15" s="58">
        <v>16793</v>
      </c>
      <c r="G15" s="27">
        <f t="shared" si="1"/>
        <v>0.72568169050602827</v>
      </c>
      <c r="H15" s="58">
        <v>4789</v>
      </c>
      <c r="I15" s="27">
        <f t="shared" si="2"/>
        <v>0.2069487057603388</v>
      </c>
      <c r="J15" s="58">
        <v>4</v>
      </c>
      <c r="K15" s="27">
        <f t="shared" si="3"/>
        <v>1.7285337712285553E-4</v>
      </c>
      <c r="L15" s="58">
        <v>1555</v>
      </c>
      <c r="M15" s="24">
        <f t="shared" si="4"/>
        <v>6.7196750356510085E-2</v>
      </c>
      <c r="N15" s="37">
        <f t="shared" si="5"/>
        <v>36</v>
      </c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</row>
    <row r="16" spans="2:25" x14ac:dyDescent="0.35">
      <c r="B16" s="33" t="s">
        <v>29</v>
      </c>
      <c r="C16" s="22" t="s">
        <v>30</v>
      </c>
      <c r="D16" s="57">
        <v>12975</v>
      </c>
      <c r="E16" s="22">
        <f t="shared" si="0"/>
        <v>32</v>
      </c>
      <c r="F16" s="57">
        <v>5800</v>
      </c>
      <c r="G16" s="23">
        <f t="shared" si="1"/>
        <v>0.44701348747591524</v>
      </c>
      <c r="H16" s="57">
        <v>1695</v>
      </c>
      <c r="I16" s="23">
        <f t="shared" si="2"/>
        <v>0.13063583815028901</v>
      </c>
      <c r="J16" s="57">
        <v>7</v>
      </c>
      <c r="K16" s="23">
        <f t="shared" si="3"/>
        <v>5.3949903660886322E-4</v>
      </c>
      <c r="L16" s="57">
        <v>5473</v>
      </c>
      <c r="M16" s="24">
        <f t="shared" si="4"/>
        <v>0.42181117533718687</v>
      </c>
      <c r="N16" s="36">
        <f t="shared" si="5"/>
        <v>27</v>
      </c>
      <c r="O16" s="169"/>
      <c r="P16" s="169"/>
      <c r="Q16" s="8"/>
      <c r="R16" s="8"/>
      <c r="S16" s="8"/>
      <c r="T16" s="8"/>
      <c r="U16" s="8"/>
      <c r="V16" s="8"/>
      <c r="W16" s="8"/>
      <c r="X16" s="8"/>
      <c r="Y16" s="169"/>
    </row>
    <row r="17" spans="2:25" x14ac:dyDescent="0.35">
      <c r="B17" s="34" t="s">
        <v>31</v>
      </c>
      <c r="C17" s="26" t="s">
        <v>32</v>
      </c>
      <c r="D17" s="58">
        <v>33885</v>
      </c>
      <c r="E17" s="26">
        <f t="shared" si="0"/>
        <v>5</v>
      </c>
      <c r="F17" s="58">
        <v>6773</v>
      </c>
      <c r="G17" s="27">
        <f t="shared" si="1"/>
        <v>0.19988195366681422</v>
      </c>
      <c r="H17" s="58">
        <v>2282</v>
      </c>
      <c r="I17" s="27">
        <f t="shared" si="2"/>
        <v>6.7345433082484876E-2</v>
      </c>
      <c r="J17" s="58">
        <v>16</v>
      </c>
      <c r="K17" s="27">
        <f t="shared" si="3"/>
        <v>4.7218533274310165E-4</v>
      </c>
      <c r="L17" s="58">
        <v>24814</v>
      </c>
      <c r="M17" s="24">
        <f t="shared" si="4"/>
        <v>0.7323004279179578</v>
      </c>
      <c r="N17" s="37">
        <f t="shared" si="5"/>
        <v>16</v>
      </c>
      <c r="O17" s="9"/>
      <c r="P17" s="10"/>
      <c r="Q17" s="11"/>
      <c r="R17" s="9"/>
      <c r="S17" s="11"/>
      <c r="T17" s="9"/>
      <c r="U17" s="11"/>
      <c r="V17" s="9"/>
      <c r="W17" s="9"/>
      <c r="X17" s="9"/>
      <c r="Y17" s="11"/>
    </row>
    <row r="18" spans="2:25" ht="25.5" customHeight="1" x14ac:dyDescent="0.35">
      <c r="B18" s="33" t="s">
        <v>33</v>
      </c>
      <c r="C18" s="22" t="s">
        <v>34</v>
      </c>
      <c r="D18" s="57">
        <v>21338</v>
      </c>
      <c r="E18" s="22">
        <f t="shared" si="0"/>
        <v>20</v>
      </c>
      <c r="F18" s="57">
        <v>3572</v>
      </c>
      <c r="G18" s="23">
        <f t="shared" si="1"/>
        <v>0.16740088105726872</v>
      </c>
      <c r="H18" s="57">
        <v>1440</v>
      </c>
      <c r="I18" s="23">
        <f t="shared" si="2"/>
        <v>6.7485237604274065E-2</v>
      </c>
      <c r="J18" s="57">
        <v>12</v>
      </c>
      <c r="K18" s="23">
        <f t="shared" si="3"/>
        <v>5.6237698003561718E-4</v>
      </c>
      <c r="L18" s="57">
        <v>16314</v>
      </c>
      <c r="M18" s="24">
        <f t="shared" si="4"/>
        <v>0.76455150435842156</v>
      </c>
      <c r="N18" s="36">
        <f t="shared" si="5"/>
        <v>15</v>
      </c>
      <c r="O18" s="9"/>
      <c r="P18" s="10"/>
      <c r="Q18" s="11"/>
      <c r="R18" s="9"/>
      <c r="S18" s="9"/>
      <c r="T18" s="9"/>
      <c r="U18" s="11"/>
      <c r="V18" s="9"/>
      <c r="W18" s="9"/>
      <c r="X18" s="9"/>
      <c r="Y18" s="11"/>
    </row>
    <row r="19" spans="2:25" x14ac:dyDescent="0.35">
      <c r="B19" s="33" t="s">
        <v>35</v>
      </c>
      <c r="C19" s="22" t="s">
        <v>36</v>
      </c>
      <c r="D19" s="57">
        <v>13669</v>
      </c>
      <c r="E19" s="22">
        <f t="shared" si="0"/>
        <v>30</v>
      </c>
      <c r="F19" s="57">
        <v>1676</v>
      </c>
      <c r="G19" s="23">
        <f t="shared" si="1"/>
        <v>0.12261321237837443</v>
      </c>
      <c r="H19" s="57">
        <v>681</v>
      </c>
      <c r="I19" s="23">
        <f t="shared" si="2"/>
        <v>4.9820762308874098E-2</v>
      </c>
      <c r="J19" s="57">
        <v>2</v>
      </c>
      <c r="K19" s="23">
        <f t="shared" si="3"/>
        <v>1.4631648255175947E-4</v>
      </c>
      <c r="L19" s="57">
        <v>11310</v>
      </c>
      <c r="M19" s="24">
        <f t="shared" si="4"/>
        <v>0.82741970883019977</v>
      </c>
      <c r="N19" s="36">
        <f t="shared" si="5"/>
        <v>7</v>
      </c>
      <c r="O19" s="9"/>
      <c r="P19" s="10"/>
      <c r="Q19" s="11"/>
      <c r="R19" s="9"/>
      <c r="S19" s="11"/>
      <c r="T19" s="9"/>
      <c r="U19" s="11"/>
      <c r="V19" s="9"/>
      <c r="W19" s="9"/>
      <c r="X19" s="9"/>
      <c r="Y19" s="11"/>
    </row>
    <row r="20" spans="2:25" ht="25.5" customHeight="1" x14ac:dyDescent="0.35">
      <c r="B20" s="33" t="s">
        <v>37</v>
      </c>
      <c r="C20" s="22" t="s">
        <v>38</v>
      </c>
      <c r="D20" s="57">
        <v>10100</v>
      </c>
      <c r="E20" s="22">
        <f t="shared" si="0"/>
        <v>35</v>
      </c>
      <c r="F20" s="57">
        <v>379</v>
      </c>
      <c r="G20" s="23">
        <f t="shared" si="1"/>
        <v>3.7524752475247523E-2</v>
      </c>
      <c r="H20" s="57">
        <v>56</v>
      </c>
      <c r="I20" s="23">
        <f t="shared" si="2"/>
        <v>5.5445544554455443E-3</v>
      </c>
      <c r="J20" s="57">
        <v>0</v>
      </c>
      <c r="K20" s="23">
        <f t="shared" si="3"/>
        <v>0</v>
      </c>
      <c r="L20" s="57">
        <v>9665</v>
      </c>
      <c r="M20" s="24">
        <f t="shared" si="4"/>
        <v>0.95693069306930689</v>
      </c>
      <c r="N20" s="36">
        <f t="shared" si="5"/>
        <v>1</v>
      </c>
      <c r="O20" s="9"/>
      <c r="P20" s="10"/>
      <c r="Q20" s="11"/>
      <c r="R20" s="9"/>
      <c r="S20" s="11"/>
      <c r="T20" s="9"/>
      <c r="U20" s="11"/>
      <c r="V20" s="9"/>
      <c r="W20" s="9"/>
      <c r="X20" s="9"/>
      <c r="Y20" s="11"/>
    </row>
    <row r="21" spans="2:25" x14ac:dyDescent="0.35">
      <c r="B21" s="34" t="s">
        <v>39</v>
      </c>
      <c r="C21" s="26" t="s">
        <v>40</v>
      </c>
      <c r="D21" s="58">
        <v>9914</v>
      </c>
      <c r="E21" s="26">
        <f t="shared" si="0"/>
        <v>36</v>
      </c>
      <c r="F21" s="58">
        <v>1514</v>
      </c>
      <c r="G21" s="27">
        <f t="shared" si="1"/>
        <v>0.15271333467823281</v>
      </c>
      <c r="H21" s="58">
        <v>283</v>
      </c>
      <c r="I21" s="27">
        <f t="shared" si="2"/>
        <v>2.8545491224530966E-2</v>
      </c>
      <c r="J21" s="58">
        <v>0</v>
      </c>
      <c r="K21" s="27">
        <f t="shared" si="3"/>
        <v>0</v>
      </c>
      <c r="L21" s="58">
        <v>8117</v>
      </c>
      <c r="M21" s="24">
        <f t="shared" si="4"/>
        <v>0.81874117409723624</v>
      </c>
      <c r="N21" s="37">
        <f t="shared" si="5"/>
        <v>8</v>
      </c>
      <c r="O21" s="5"/>
      <c r="P21" s="5"/>
      <c r="Q21" s="6"/>
      <c r="R21" s="7"/>
      <c r="S21" s="7"/>
      <c r="T21" s="7"/>
      <c r="U21" s="7"/>
      <c r="V21" s="7"/>
      <c r="W21" s="7"/>
      <c r="X21" s="7"/>
      <c r="Y21" s="7"/>
    </row>
    <row r="22" spans="2:25" x14ac:dyDescent="0.35">
      <c r="B22" s="33" t="s">
        <v>41</v>
      </c>
      <c r="C22" s="22" t="s">
        <v>42</v>
      </c>
      <c r="D22" s="57">
        <v>17963</v>
      </c>
      <c r="E22" s="22">
        <f t="shared" si="0"/>
        <v>25</v>
      </c>
      <c r="F22" s="57">
        <v>4585</v>
      </c>
      <c r="G22" s="23">
        <f t="shared" si="1"/>
        <v>0.25524689639815173</v>
      </c>
      <c r="H22" s="57">
        <v>1403</v>
      </c>
      <c r="I22" s="23">
        <f t="shared" si="2"/>
        <v>7.8104993597951339E-2</v>
      </c>
      <c r="J22" s="57">
        <v>1</v>
      </c>
      <c r="K22" s="23">
        <f t="shared" si="3"/>
        <v>5.5669988309302457E-5</v>
      </c>
      <c r="L22" s="57">
        <v>11974</v>
      </c>
      <c r="M22" s="24">
        <f t="shared" si="4"/>
        <v>0.6665924400155876</v>
      </c>
      <c r="N22" s="36">
        <f t="shared" si="5"/>
        <v>19</v>
      </c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</row>
    <row r="23" spans="2:25" x14ac:dyDescent="0.35">
      <c r="B23" s="34" t="s">
        <v>43</v>
      </c>
      <c r="C23" s="26" t="s">
        <v>44</v>
      </c>
      <c r="D23" s="58">
        <v>12359</v>
      </c>
      <c r="E23" s="26">
        <f t="shared" si="0"/>
        <v>34</v>
      </c>
      <c r="F23" s="58">
        <v>1999</v>
      </c>
      <c r="G23" s="27">
        <f t="shared" si="1"/>
        <v>0.16174447770855246</v>
      </c>
      <c r="H23" s="58">
        <v>650</v>
      </c>
      <c r="I23" s="27">
        <f t="shared" si="2"/>
        <v>5.2593251881220167E-2</v>
      </c>
      <c r="J23" s="58">
        <v>0</v>
      </c>
      <c r="K23" s="27">
        <f t="shared" si="3"/>
        <v>0</v>
      </c>
      <c r="L23" s="58">
        <v>9710</v>
      </c>
      <c r="M23" s="24">
        <f t="shared" si="4"/>
        <v>0.7856622704102274</v>
      </c>
      <c r="N23" s="37">
        <f t="shared" si="5"/>
        <v>14</v>
      </c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</row>
    <row r="24" spans="2:25" x14ac:dyDescent="0.35">
      <c r="B24" s="34" t="s">
        <v>45</v>
      </c>
      <c r="C24" s="26" t="s">
        <v>46</v>
      </c>
      <c r="D24" s="58">
        <v>32575</v>
      </c>
      <c r="E24" s="26">
        <f t="shared" si="0"/>
        <v>7</v>
      </c>
      <c r="F24" s="58">
        <v>2789</v>
      </c>
      <c r="G24" s="27">
        <f t="shared" si="1"/>
        <v>8.5617805065234073E-2</v>
      </c>
      <c r="H24" s="58">
        <v>3982</v>
      </c>
      <c r="I24" s="27">
        <f t="shared" si="2"/>
        <v>0.1222409823484267</v>
      </c>
      <c r="J24" s="58">
        <v>0</v>
      </c>
      <c r="K24" s="27">
        <f t="shared" si="3"/>
        <v>0</v>
      </c>
      <c r="L24" s="58">
        <v>25804</v>
      </c>
      <c r="M24" s="24">
        <f t="shared" si="4"/>
        <v>0.79214121258633918</v>
      </c>
      <c r="N24" s="37">
        <f t="shared" si="5"/>
        <v>12</v>
      </c>
      <c r="O24" s="169"/>
      <c r="P24" s="169"/>
      <c r="Q24" s="8"/>
      <c r="R24" s="8"/>
      <c r="S24" s="8"/>
      <c r="T24" s="8"/>
      <c r="U24" s="8"/>
      <c r="V24" s="8"/>
      <c r="W24" s="8"/>
      <c r="X24" s="8"/>
      <c r="Y24" s="169"/>
    </row>
    <row r="25" spans="2:25" ht="38" customHeight="1" x14ac:dyDescent="0.35">
      <c r="B25" s="33" t="s">
        <v>47</v>
      </c>
      <c r="C25" s="22" t="s">
        <v>48</v>
      </c>
      <c r="D25" s="57">
        <v>49248</v>
      </c>
      <c r="E25" s="22">
        <f t="shared" si="0"/>
        <v>2</v>
      </c>
      <c r="F25" s="57">
        <v>24973</v>
      </c>
      <c r="G25" s="23">
        <f t="shared" si="1"/>
        <v>0.50708658219623137</v>
      </c>
      <c r="H25" s="57">
        <v>9573</v>
      </c>
      <c r="I25" s="23">
        <f t="shared" si="2"/>
        <v>0.19438352826510721</v>
      </c>
      <c r="J25" s="57">
        <v>47</v>
      </c>
      <c r="K25" s="23">
        <f t="shared" si="3"/>
        <v>9.5435347628330079E-4</v>
      </c>
      <c r="L25" s="57">
        <v>14655</v>
      </c>
      <c r="M25" s="24">
        <f t="shared" si="4"/>
        <v>0.29757553606237819</v>
      </c>
      <c r="N25" s="36">
        <f t="shared" si="5"/>
        <v>31</v>
      </c>
      <c r="O25" s="9"/>
      <c r="P25" s="10"/>
      <c r="Q25" s="11"/>
      <c r="R25" s="9"/>
      <c r="S25" s="11"/>
      <c r="T25" s="9"/>
      <c r="U25" s="11"/>
      <c r="V25" s="9"/>
      <c r="W25" s="9"/>
      <c r="X25" s="9"/>
      <c r="Y25" s="11"/>
    </row>
    <row r="26" spans="2:25" x14ac:dyDescent="0.35">
      <c r="B26" s="33" t="s">
        <v>49</v>
      </c>
      <c r="C26" s="22" t="s">
        <v>50</v>
      </c>
      <c r="D26" s="57">
        <v>19608</v>
      </c>
      <c r="E26" s="22">
        <f t="shared" si="0"/>
        <v>23</v>
      </c>
      <c r="F26" s="57">
        <v>9103</v>
      </c>
      <c r="G26" s="23">
        <f t="shared" si="1"/>
        <v>0.46424928600571197</v>
      </c>
      <c r="H26" s="57">
        <v>4019</v>
      </c>
      <c r="I26" s="23">
        <f t="shared" si="2"/>
        <v>0.20496736026111792</v>
      </c>
      <c r="J26" s="57">
        <v>10</v>
      </c>
      <c r="K26" s="23">
        <f t="shared" si="3"/>
        <v>5.0999592003263977E-4</v>
      </c>
      <c r="L26" s="57">
        <v>6476</v>
      </c>
      <c r="M26" s="24">
        <f t="shared" si="4"/>
        <v>0.33027335781313749</v>
      </c>
      <c r="N26" s="36">
        <f t="shared" si="5"/>
        <v>29</v>
      </c>
      <c r="O26" s="9"/>
      <c r="P26" s="10"/>
      <c r="Q26" s="11"/>
      <c r="R26" s="9"/>
      <c r="S26" s="11"/>
      <c r="T26" s="9"/>
      <c r="U26" s="11"/>
      <c r="V26" s="9"/>
      <c r="W26" s="9"/>
      <c r="X26" s="9"/>
      <c r="Y26" s="11"/>
    </row>
    <row r="27" spans="2:25" x14ac:dyDescent="0.35">
      <c r="B27" s="33" t="s">
        <v>51</v>
      </c>
      <c r="C27" s="22" t="s">
        <v>52</v>
      </c>
      <c r="D27" s="57">
        <v>30316</v>
      </c>
      <c r="E27" s="22">
        <f t="shared" si="0"/>
        <v>9</v>
      </c>
      <c r="F27" s="57">
        <v>18457</v>
      </c>
      <c r="G27" s="23">
        <f t="shared" si="1"/>
        <v>0.60882042485816068</v>
      </c>
      <c r="H27" s="57">
        <v>7256</v>
      </c>
      <c r="I27" s="23">
        <f t="shared" si="2"/>
        <v>0.23934556010027708</v>
      </c>
      <c r="J27" s="57">
        <v>22</v>
      </c>
      <c r="K27" s="23">
        <f t="shared" si="3"/>
        <v>7.2568940493468795E-4</v>
      </c>
      <c r="L27" s="57">
        <v>4581</v>
      </c>
      <c r="M27" s="24">
        <f t="shared" si="4"/>
        <v>0.15110832563662752</v>
      </c>
      <c r="N27" s="36">
        <f t="shared" si="5"/>
        <v>35</v>
      </c>
      <c r="O27" s="9"/>
      <c r="P27" s="10"/>
      <c r="Q27" s="11"/>
      <c r="R27" s="9"/>
      <c r="S27" s="11"/>
      <c r="T27" s="9"/>
      <c r="U27" s="11"/>
      <c r="V27" s="9"/>
      <c r="W27" s="9"/>
      <c r="X27" s="9"/>
      <c r="Y27" s="11"/>
    </row>
    <row r="28" spans="2:25" ht="25.5" customHeight="1" x14ac:dyDescent="0.35">
      <c r="B28" s="34" t="s">
        <v>53</v>
      </c>
      <c r="C28" s="26" t="s">
        <v>54</v>
      </c>
      <c r="D28" s="58">
        <v>32899</v>
      </c>
      <c r="E28" s="26">
        <f t="shared" si="0"/>
        <v>6</v>
      </c>
      <c r="F28" s="58">
        <v>15456</v>
      </c>
      <c r="G28" s="27">
        <f t="shared" si="1"/>
        <v>0.4698015137238214</v>
      </c>
      <c r="H28" s="58">
        <v>8654</v>
      </c>
      <c r="I28" s="27">
        <f t="shared" si="2"/>
        <v>0.26304750904282803</v>
      </c>
      <c r="J28" s="58">
        <v>8</v>
      </c>
      <c r="K28" s="27">
        <f t="shared" si="3"/>
        <v>2.4316848536429678E-4</v>
      </c>
      <c r="L28" s="58">
        <v>8781</v>
      </c>
      <c r="M28" s="24">
        <f t="shared" si="4"/>
        <v>0.26690780874798625</v>
      </c>
      <c r="N28" s="37">
        <f t="shared" si="5"/>
        <v>32</v>
      </c>
      <c r="O28" s="9"/>
      <c r="P28" s="10"/>
      <c r="Q28" s="11"/>
      <c r="R28" s="9"/>
      <c r="S28" s="11"/>
      <c r="T28" s="9"/>
      <c r="U28" s="11"/>
      <c r="V28" s="9"/>
      <c r="W28" s="9"/>
      <c r="X28" s="9"/>
      <c r="Y28" s="11"/>
    </row>
    <row r="29" spans="2:25" x14ac:dyDescent="0.35">
      <c r="B29" s="33" t="s">
        <v>55</v>
      </c>
      <c r="C29" s="22" t="s">
        <v>56</v>
      </c>
      <c r="D29" s="57">
        <v>64582</v>
      </c>
      <c r="E29" s="22">
        <f t="shared" si="0"/>
        <v>1</v>
      </c>
      <c r="F29" s="57">
        <v>4406</v>
      </c>
      <c r="G29" s="23">
        <f t="shared" si="1"/>
        <v>6.8223343965810909E-2</v>
      </c>
      <c r="H29" s="57">
        <v>8570</v>
      </c>
      <c r="I29" s="23">
        <f t="shared" si="2"/>
        <v>0.13269951379641387</v>
      </c>
      <c r="J29" s="57">
        <v>4</v>
      </c>
      <c r="K29" s="23">
        <f t="shared" si="3"/>
        <v>6.1936762565420705E-5</v>
      </c>
      <c r="L29" s="57">
        <v>51602</v>
      </c>
      <c r="M29" s="24">
        <f t="shared" si="4"/>
        <v>0.79901520547520977</v>
      </c>
      <c r="N29" s="36">
        <f t="shared" si="5"/>
        <v>9</v>
      </c>
      <c r="O29" s="9"/>
      <c r="P29" s="10"/>
      <c r="Q29" s="11"/>
      <c r="R29" s="9"/>
      <c r="S29" s="11"/>
      <c r="T29" s="9"/>
      <c r="U29" s="11"/>
      <c r="V29" s="9"/>
      <c r="W29" s="9"/>
      <c r="X29" s="9"/>
      <c r="Y29" s="11"/>
    </row>
    <row r="30" spans="2:25" ht="25.5" customHeight="1" x14ac:dyDescent="0.35">
      <c r="B30" s="34" t="s">
        <v>57</v>
      </c>
      <c r="C30" s="26" t="s">
        <v>58</v>
      </c>
      <c r="D30" s="58">
        <v>26440</v>
      </c>
      <c r="E30" s="26">
        <f t="shared" si="0"/>
        <v>15</v>
      </c>
      <c r="F30" s="58">
        <v>1868</v>
      </c>
      <c r="G30" s="27">
        <f t="shared" si="1"/>
        <v>7.0650529500756426E-2</v>
      </c>
      <c r="H30" s="58">
        <v>2414</v>
      </c>
      <c r="I30" s="27">
        <f t="shared" si="2"/>
        <v>9.1301059001512863E-2</v>
      </c>
      <c r="J30" s="58">
        <v>1</v>
      </c>
      <c r="K30" s="27">
        <f t="shared" si="3"/>
        <v>3.7821482602118E-5</v>
      </c>
      <c r="L30" s="58">
        <v>22157</v>
      </c>
      <c r="M30" s="24">
        <f t="shared" si="4"/>
        <v>0.83801059001512856</v>
      </c>
      <c r="N30" s="37">
        <f t="shared" si="5"/>
        <v>6</v>
      </c>
      <c r="O30" s="9"/>
      <c r="P30" s="10"/>
      <c r="Q30" s="11"/>
      <c r="R30" s="9"/>
      <c r="S30" s="11"/>
      <c r="T30" s="9"/>
      <c r="U30" s="11"/>
      <c r="V30" s="9"/>
      <c r="W30" s="9"/>
      <c r="X30" s="9"/>
      <c r="Y30" s="11"/>
    </row>
    <row r="31" spans="2:25" x14ac:dyDescent="0.35">
      <c r="B31" s="34" t="s">
        <v>59</v>
      </c>
      <c r="C31" s="26" t="s">
        <v>60</v>
      </c>
      <c r="D31" s="58">
        <v>34636</v>
      </c>
      <c r="E31" s="26">
        <f t="shared" si="0"/>
        <v>4</v>
      </c>
      <c r="F31" s="58">
        <v>5690</v>
      </c>
      <c r="G31" s="27">
        <f t="shared" si="1"/>
        <v>0.16427993994687609</v>
      </c>
      <c r="H31" s="58">
        <v>8852</v>
      </c>
      <c r="I31" s="27">
        <f t="shared" si="2"/>
        <v>0.25557223697886594</v>
      </c>
      <c r="J31" s="58">
        <v>8</v>
      </c>
      <c r="K31" s="27">
        <f t="shared" si="3"/>
        <v>2.3097355352812103E-4</v>
      </c>
      <c r="L31" s="58">
        <v>20086</v>
      </c>
      <c r="M31" s="24">
        <f t="shared" si="4"/>
        <v>0.57991684952072986</v>
      </c>
      <c r="N31" s="37">
        <f t="shared" si="5"/>
        <v>22</v>
      </c>
      <c r="O31" s="5"/>
      <c r="P31" s="5"/>
      <c r="Q31" s="6"/>
      <c r="R31" s="7"/>
      <c r="S31" s="7"/>
      <c r="T31" s="7"/>
      <c r="U31" s="7"/>
      <c r="V31" s="7"/>
      <c r="W31" s="7"/>
      <c r="X31" s="7"/>
      <c r="Y31" s="7"/>
    </row>
    <row r="32" spans="2:25" x14ac:dyDescent="0.35">
      <c r="B32" s="33" t="s">
        <v>61</v>
      </c>
      <c r="C32" s="22" t="s">
        <v>62</v>
      </c>
      <c r="D32" s="57">
        <v>16730</v>
      </c>
      <c r="E32" s="22">
        <f t="shared" si="0"/>
        <v>26</v>
      </c>
      <c r="F32" s="57">
        <v>1167</v>
      </c>
      <c r="G32" s="23">
        <f t="shared" si="1"/>
        <v>6.9754931261207409E-2</v>
      </c>
      <c r="H32" s="57">
        <v>742</v>
      </c>
      <c r="I32" s="23">
        <f t="shared" si="2"/>
        <v>4.4351464435146447E-2</v>
      </c>
      <c r="J32" s="57">
        <v>0</v>
      </c>
      <c r="K32" s="23">
        <f t="shared" si="3"/>
        <v>0</v>
      </c>
      <c r="L32" s="57">
        <v>14821</v>
      </c>
      <c r="M32" s="24">
        <f t="shared" si="4"/>
        <v>0.88589360430364616</v>
      </c>
      <c r="N32" s="36">
        <f t="shared" si="5"/>
        <v>3</v>
      </c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</row>
    <row r="33" spans="2:25" x14ac:dyDescent="0.35">
      <c r="B33" s="34" t="s">
        <v>63</v>
      </c>
      <c r="C33" s="26" t="s">
        <v>64</v>
      </c>
      <c r="D33" s="58">
        <v>15141</v>
      </c>
      <c r="E33" s="26">
        <f t="shared" si="0"/>
        <v>28</v>
      </c>
      <c r="F33" s="58">
        <v>8186</v>
      </c>
      <c r="G33" s="27">
        <f t="shared" si="1"/>
        <v>0.54065121194108712</v>
      </c>
      <c r="H33" s="58">
        <v>3123</v>
      </c>
      <c r="I33" s="27">
        <f t="shared" si="2"/>
        <v>0.20626114523479294</v>
      </c>
      <c r="J33" s="58">
        <v>1</v>
      </c>
      <c r="K33" s="27">
        <f t="shared" si="3"/>
        <v>6.6045835810052173E-5</v>
      </c>
      <c r="L33" s="58">
        <v>3831</v>
      </c>
      <c r="M33" s="24">
        <f t="shared" si="4"/>
        <v>0.25302159698830989</v>
      </c>
      <c r="N33" s="37">
        <f t="shared" si="5"/>
        <v>34</v>
      </c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</row>
    <row r="34" spans="2:25" x14ac:dyDescent="0.35">
      <c r="B34" s="33" t="s">
        <v>65</v>
      </c>
      <c r="C34" s="22" t="s">
        <v>66</v>
      </c>
      <c r="D34" s="57">
        <v>28010</v>
      </c>
      <c r="E34" s="22">
        <f t="shared" si="0"/>
        <v>12</v>
      </c>
      <c r="F34" s="57">
        <v>13762</v>
      </c>
      <c r="G34" s="23">
        <f t="shared" si="1"/>
        <v>0.49132452695465906</v>
      </c>
      <c r="H34" s="57">
        <v>6949</v>
      </c>
      <c r="I34" s="23">
        <f t="shared" si="2"/>
        <v>0.24808996786861834</v>
      </c>
      <c r="J34" s="57">
        <v>7</v>
      </c>
      <c r="K34" s="23">
        <f t="shared" si="3"/>
        <v>2.4991074616208497E-4</v>
      </c>
      <c r="L34" s="57">
        <v>7292</v>
      </c>
      <c r="M34" s="24">
        <f t="shared" si="4"/>
        <v>0.26033559443056054</v>
      </c>
      <c r="N34" s="36">
        <f t="shared" si="5"/>
        <v>33</v>
      </c>
      <c r="O34" s="169"/>
      <c r="P34" s="169"/>
      <c r="Q34" s="8"/>
      <c r="R34" s="8"/>
      <c r="S34" s="8"/>
      <c r="T34" s="8"/>
      <c r="U34" s="8"/>
      <c r="V34" s="8"/>
      <c r="W34" s="8"/>
      <c r="X34" s="8"/>
      <c r="Y34" s="169"/>
    </row>
    <row r="35" spans="2:25" ht="25.5" customHeight="1" x14ac:dyDescent="0.35">
      <c r="B35" s="33" t="s">
        <v>67</v>
      </c>
      <c r="C35" s="22" t="s">
        <v>68</v>
      </c>
      <c r="D35" s="57">
        <v>27926</v>
      </c>
      <c r="E35" s="22">
        <f t="shared" si="0"/>
        <v>13</v>
      </c>
      <c r="F35" s="57">
        <v>3373</v>
      </c>
      <c r="G35" s="23">
        <f t="shared" si="1"/>
        <v>0.1207834992480126</v>
      </c>
      <c r="H35" s="57">
        <v>2488</v>
      </c>
      <c r="I35" s="23">
        <f t="shared" si="2"/>
        <v>8.9092601876387595E-2</v>
      </c>
      <c r="J35" s="57">
        <v>1</v>
      </c>
      <c r="K35" s="23">
        <f t="shared" si="3"/>
        <v>3.5808923583757074E-5</v>
      </c>
      <c r="L35" s="57">
        <v>22064</v>
      </c>
      <c r="M35" s="24">
        <f t="shared" si="4"/>
        <v>0.79008808995201607</v>
      </c>
      <c r="N35" s="36">
        <f t="shared" si="5"/>
        <v>13</v>
      </c>
      <c r="O35" s="9"/>
      <c r="P35" s="10"/>
      <c r="Q35" s="11"/>
      <c r="R35" s="9"/>
      <c r="S35" s="11"/>
      <c r="T35" s="9"/>
      <c r="U35" s="9"/>
      <c r="V35" s="9"/>
      <c r="W35" s="9"/>
      <c r="X35" s="9"/>
      <c r="Y35" s="11"/>
    </row>
    <row r="36" spans="2:25" x14ac:dyDescent="0.35">
      <c r="B36" s="34" t="s">
        <v>69</v>
      </c>
      <c r="C36" s="26" t="s">
        <v>70</v>
      </c>
      <c r="D36" s="58">
        <v>20768</v>
      </c>
      <c r="E36" s="26">
        <f t="shared" si="0"/>
        <v>21</v>
      </c>
      <c r="F36" s="58">
        <v>3784</v>
      </c>
      <c r="G36" s="27">
        <f t="shared" si="1"/>
        <v>0.18220338983050846</v>
      </c>
      <c r="H36" s="58">
        <v>3447</v>
      </c>
      <c r="I36" s="27">
        <f t="shared" si="2"/>
        <v>0.16597650231124808</v>
      </c>
      <c r="J36" s="58">
        <v>0</v>
      </c>
      <c r="K36" s="27">
        <f t="shared" si="3"/>
        <v>0</v>
      </c>
      <c r="L36" s="58">
        <v>13537</v>
      </c>
      <c r="M36" s="24">
        <f t="shared" si="4"/>
        <v>0.6518201078582434</v>
      </c>
      <c r="N36" s="37">
        <f t="shared" si="5"/>
        <v>20</v>
      </c>
      <c r="O36" s="9"/>
      <c r="P36" s="10"/>
      <c r="Q36" s="11"/>
      <c r="R36" s="9"/>
      <c r="S36" s="9"/>
      <c r="T36" s="9"/>
      <c r="U36" s="9"/>
      <c r="V36" s="9"/>
      <c r="W36" s="9"/>
      <c r="X36" s="9"/>
      <c r="Y36" s="11"/>
    </row>
    <row r="37" spans="2:25" ht="25.5" customHeight="1" x14ac:dyDescent="0.35">
      <c r="B37" s="34" t="s">
        <v>71</v>
      </c>
      <c r="C37" s="26" t="s">
        <v>72</v>
      </c>
      <c r="D37" s="58">
        <v>19585</v>
      </c>
      <c r="E37" s="26">
        <f t="shared" si="0"/>
        <v>24</v>
      </c>
      <c r="F37" s="58">
        <v>6453</v>
      </c>
      <c r="G37" s="27">
        <f t="shared" si="1"/>
        <v>0.32948685218279294</v>
      </c>
      <c r="H37" s="58">
        <v>4810</v>
      </c>
      <c r="I37" s="27">
        <f t="shared" si="2"/>
        <v>0.24559611947919327</v>
      </c>
      <c r="J37" s="58">
        <v>6</v>
      </c>
      <c r="K37" s="27">
        <f t="shared" si="3"/>
        <v>3.0635690579525145E-4</v>
      </c>
      <c r="L37" s="58">
        <v>8316</v>
      </c>
      <c r="M37" s="24">
        <f t="shared" si="4"/>
        <v>0.42461067143221853</v>
      </c>
      <c r="N37" s="37">
        <f t="shared" si="5"/>
        <v>26</v>
      </c>
      <c r="O37" s="9"/>
      <c r="P37" s="10"/>
      <c r="Q37" s="11"/>
      <c r="R37" s="9"/>
      <c r="S37" s="11"/>
      <c r="T37" s="9"/>
      <c r="U37" s="9"/>
      <c r="V37" s="9"/>
      <c r="W37" s="9"/>
      <c r="X37" s="9"/>
      <c r="Y37" s="11"/>
    </row>
    <row r="38" spans="2:25" x14ac:dyDescent="0.35">
      <c r="B38" s="34" t="s">
        <v>73</v>
      </c>
      <c r="C38" s="26" t="s">
        <v>74</v>
      </c>
      <c r="D38" s="58">
        <v>29235</v>
      </c>
      <c r="E38" s="26">
        <f t="shared" si="0"/>
        <v>10</v>
      </c>
      <c r="F38" s="58">
        <v>3038</v>
      </c>
      <c r="G38" s="27">
        <f t="shared" si="1"/>
        <v>0.10391653839575851</v>
      </c>
      <c r="H38" s="58">
        <v>1346</v>
      </c>
      <c r="I38" s="27">
        <f t="shared" si="2"/>
        <v>4.6040704634855482E-2</v>
      </c>
      <c r="J38" s="58">
        <v>0</v>
      </c>
      <c r="K38" s="27">
        <f t="shared" si="3"/>
        <v>0</v>
      </c>
      <c r="L38" s="58">
        <v>24851</v>
      </c>
      <c r="M38" s="24">
        <f t="shared" si="4"/>
        <v>0.85004275696938603</v>
      </c>
      <c r="N38" s="37">
        <f t="shared" si="5"/>
        <v>4</v>
      </c>
      <c r="O38" s="9"/>
      <c r="P38" s="10"/>
      <c r="Q38" s="11"/>
      <c r="R38" s="9"/>
      <c r="S38" s="11"/>
      <c r="T38" s="9"/>
      <c r="U38" s="11"/>
      <c r="V38" s="9"/>
      <c r="W38" s="9"/>
      <c r="X38" s="9"/>
      <c r="Y38" s="11"/>
    </row>
    <row r="39" spans="2:25" ht="25.5" customHeight="1" x14ac:dyDescent="0.35">
      <c r="B39" s="33" t="s">
        <v>75</v>
      </c>
      <c r="C39" s="22" t="s">
        <v>76</v>
      </c>
      <c r="D39" s="57">
        <v>24878</v>
      </c>
      <c r="E39" s="22">
        <f t="shared" si="0"/>
        <v>17</v>
      </c>
      <c r="F39" s="57">
        <v>5510</v>
      </c>
      <c r="G39" s="23">
        <f t="shared" si="1"/>
        <v>0.22148082643299299</v>
      </c>
      <c r="H39" s="57">
        <v>3600</v>
      </c>
      <c r="I39" s="23">
        <f t="shared" si="2"/>
        <v>0.14470616609052175</v>
      </c>
      <c r="J39" s="57">
        <v>0</v>
      </c>
      <c r="K39" s="23">
        <f t="shared" si="3"/>
        <v>0</v>
      </c>
      <c r="L39" s="57">
        <v>15768</v>
      </c>
      <c r="M39" s="24">
        <f t="shared" si="4"/>
        <v>0.63381300747648528</v>
      </c>
      <c r="N39" s="36">
        <f t="shared" si="5"/>
        <v>21</v>
      </c>
      <c r="O39" s="9"/>
      <c r="P39" s="10"/>
      <c r="Q39" s="11"/>
      <c r="R39" s="9"/>
      <c r="S39" s="11"/>
      <c r="T39" s="9"/>
      <c r="U39" s="9"/>
      <c r="V39" s="9"/>
      <c r="W39" s="9"/>
      <c r="X39" s="9"/>
      <c r="Y39" s="11"/>
    </row>
    <row r="40" spans="2:25" x14ac:dyDescent="0.35">
      <c r="B40" s="35" t="s">
        <v>77</v>
      </c>
      <c r="C40" s="29" t="s">
        <v>78</v>
      </c>
      <c r="D40" s="59">
        <v>27830</v>
      </c>
      <c r="E40" s="29">
        <f t="shared" si="0"/>
        <v>14</v>
      </c>
      <c r="F40" s="59">
        <v>11633</v>
      </c>
      <c r="G40" s="30">
        <f t="shared" si="1"/>
        <v>0.41800215594682</v>
      </c>
      <c r="H40" s="59">
        <v>4560</v>
      </c>
      <c r="I40" s="30">
        <f t="shared" si="2"/>
        <v>0.16385195831836147</v>
      </c>
      <c r="J40" s="59">
        <v>7</v>
      </c>
      <c r="K40" s="30">
        <f t="shared" si="3"/>
        <v>2.5152712899748471E-4</v>
      </c>
      <c r="L40" s="59">
        <v>11630</v>
      </c>
      <c r="M40" s="31">
        <f t="shared" si="4"/>
        <v>0.41789435860582108</v>
      </c>
      <c r="N40" s="38">
        <f t="shared" si="5"/>
        <v>28</v>
      </c>
      <c r="O40" s="5"/>
      <c r="P40" s="5"/>
      <c r="Q40" s="6"/>
      <c r="R40" s="7"/>
      <c r="S40" s="7"/>
      <c r="T40" s="7"/>
      <c r="U40" s="7"/>
      <c r="V40" s="7"/>
      <c r="W40" s="7"/>
      <c r="X40" s="7"/>
      <c r="Y40" s="7"/>
    </row>
    <row r="41" spans="2:25" x14ac:dyDescent="0.35"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</row>
    <row r="42" spans="2:25" x14ac:dyDescent="0.35"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</row>
    <row r="43" spans="2:25" x14ac:dyDescent="0.35">
      <c r="O43" s="169"/>
      <c r="P43" s="169"/>
      <c r="Q43" s="8"/>
      <c r="R43" s="8"/>
      <c r="S43" s="8"/>
      <c r="T43" s="8"/>
      <c r="U43" s="8"/>
      <c r="V43" s="8"/>
      <c r="W43" s="8"/>
      <c r="X43" s="8"/>
      <c r="Y43" s="169"/>
    </row>
    <row r="44" spans="2:25" x14ac:dyDescent="0.35">
      <c r="O44" s="9"/>
      <c r="P44" s="10"/>
      <c r="Q44" s="11"/>
      <c r="R44" s="9"/>
      <c r="S44" s="11"/>
      <c r="T44" s="9"/>
      <c r="U44" s="11"/>
      <c r="V44" s="9"/>
      <c r="W44" s="9"/>
      <c r="X44" s="9"/>
      <c r="Y44" s="11"/>
    </row>
    <row r="45" spans="2:25" x14ac:dyDescent="0.35">
      <c r="O45" s="9"/>
      <c r="P45" s="10"/>
      <c r="Q45" s="11"/>
      <c r="R45" s="9"/>
      <c r="S45" s="11"/>
      <c r="T45" s="9"/>
      <c r="U45" s="11"/>
      <c r="V45" s="9"/>
      <c r="W45" s="9"/>
      <c r="X45" s="9"/>
      <c r="Y45" s="11"/>
    </row>
    <row r="46" spans="2:25" x14ac:dyDescent="0.35">
      <c r="O46" s="9"/>
      <c r="P46" s="10"/>
      <c r="Q46" s="11"/>
      <c r="R46" s="9"/>
      <c r="S46" s="11"/>
      <c r="T46" s="9"/>
      <c r="U46" s="11"/>
      <c r="V46" s="9"/>
      <c r="W46" s="9"/>
      <c r="X46" s="9"/>
      <c r="Y46" s="11"/>
    </row>
    <row r="47" spans="2:25" x14ac:dyDescent="0.35">
      <c r="O47" s="9"/>
      <c r="P47" s="10"/>
      <c r="Q47" s="11"/>
      <c r="R47" s="9"/>
      <c r="S47" s="11"/>
      <c r="T47" s="9"/>
      <c r="U47" s="11"/>
      <c r="V47" s="9"/>
      <c r="W47" s="9"/>
      <c r="X47" s="9"/>
      <c r="Y47" s="11"/>
    </row>
    <row r="48" spans="2:25" x14ac:dyDescent="0.35">
      <c r="O48" s="9"/>
      <c r="P48" s="10"/>
      <c r="Q48" s="11"/>
      <c r="R48" s="9"/>
      <c r="S48" s="11"/>
      <c r="T48" s="9"/>
      <c r="U48" s="11"/>
      <c r="V48" s="9"/>
      <c r="W48" s="9"/>
      <c r="X48" s="9"/>
      <c r="Y48" s="11"/>
    </row>
    <row r="49" spans="15:25" x14ac:dyDescent="0.35">
      <c r="O49" s="5"/>
      <c r="P49" s="5"/>
      <c r="Q49" s="6"/>
      <c r="R49" s="7"/>
      <c r="S49" s="7"/>
      <c r="T49" s="7"/>
      <c r="U49" s="7"/>
      <c r="V49" s="7"/>
      <c r="W49" s="7"/>
      <c r="X49" s="7"/>
      <c r="Y49" s="7"/>
    </row>
    <row r="50" spans="15:25" x14ac:dyDescent="0.35"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</row>
    <row r="51" spans="15:25" x14ac:dyDescent="0.35"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</row>
    <row r="52" spans="15:25" x14ac:dyDescent="0.35">
      <c r="O52" s="169"/>
      <c r="P52" s="169"/>
      <c r="Q52" s="8"/>
      <c r="R52" s="8"/>
      <c r="S52" s="8"/>
      <c r="T52" s="8"/>
      <c r="U52" s="8"/>
      <c r="V52" s="8"/>
      <c r="W52" s="8"/>
      <c r="X52" s="8"/>
      <c r="Y52" s="169"/>
    </row>
    <row r="53" spans="15:25" x14ac:dyDescent="0.35">
      <c r="O53" s="9"/>
      <c r="P53" s="10"/>
      <c r="Q53" s="11"/>
      <c r="R53" s="9"/>
      <c r="S53" s="11"/>
      <c r="T53" s="9"/>
      <c r="U53" s="11"/>
      <c r="V53" s="9"/>
      <c r="W53" s="9"/>
      <c r="X53" s="9"/>
      <c r="Y53" s="11"/>
    </row>
    <row r="54" spans="15:25" x14ac:dyDescent="0.35">
      <c r="O54" s="9"/>
      <c r="P54" s="10"/>
      <c r="Q54" s="11"/>
      <c r="R54" s="9"/>
      <c r="S54" s="11"/>
      <c r="T54" s="9"/>
      <c r="U54" s="11"/>
      <c r="V54" s="9"/>
      <c r="W54" s="9"/>
      <c r="X54" s="9"/>
      <c r="Y54" s="11"/>
    </row>
    <row r="55" spans="15:25" x14ac:dyDescent="0.35">
      <c r="O55" s="9"/>
      <c r="P55" s="10"/>
      <c r="Q55" s="11"/>
      <c r="R55" s="9"/>
      <c r="S55" s="11"/>
      <c r="T55" s="9"/>
      <c r="U55" s="11"/>
      <c r="V55" s="9"/>
      <c r="W55" s="9"/>
      <c r="X55" s="9"/>
      <c r="Y55" s="11"/>
    </row>
    <row r="56" spans="15:25" x14ac:dyDescent="0.35">
      <c r="O56" s="9"/>
      <c r="P56" s="10"/>
      <c r="Q56" s="11"/>
      <c r="R56" s="9"/>
      <c r="S56" s="11"/>
      <c r="T56" s="9"/>
      <c r="U56" s="9"/>
      <c r="V56" s="9"/>
      <c r="W56" s="9"/>
      <c r="X56" s="9"/>
      <c r="Y56" s="11"/>
    </row>
    <row r="57" spans="15:25" x14ac:dyDescent="0.35">
      <c r="O57" s="5"/>
      <c r="P57" s="5"/>
      <c r="Q57" s="6"/>
      <c r="R57" s="7"/>
      <c r="S57" s="7"/>
      <c r="T57" s="7"/>
      <c r="U57" s="7"/>
      <c r="V57" s="7"/>
      <c r="W57" s="7"/>
      <c r="X57" s="7"/>
      <c r="Y57" s="7"/>
    </row>
    <row r="58" spans="15:25" x14ac:dyDescent="0.35"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</row>
    <row r="59" spans="15:25" x14ac:dyDescent="0.35"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</row>
    <row r="60" spans="15:25" x14ac:dyDescent="0.35">
      <c r="O60" s="169"/>
      <c r="P60" s="169"/>
      <c r="Q60" s="8"/>
      <c r="R60" s="8"/>
      <c r="S60" s="8"/>
      <c r="T60" s="8"/>
      <c r="U60" s="8"/>
      <c r="V60" s="8"/>
      <c r="W60" s="8"/>
      <c r="X60" s="8"/>
      <c r="Y60" s="169"/>
    </row>
    <row r="61" spans="15:25" x14ac:dyDescent="0.35">
      <c r="O61" s="9"/>
      <c r="P61" s="10"/>
      <c r="Q61" s="11"/>
      <c r="R61" s="9"/>
      <c r="S61" s="11"/>
      <c r="T61" s="9"/>
      <c r="U61" s="11"/>
      <c r="V61" s="9"/>
      <c r="W61" s="9"/>
      <c r="X61" s="9"/>
      <c r="Y61" s="11"/>
    </row>
    <row r="62" spans="15:25" x14ac:dyDescent="0.35">
      <c r="O62" s="9"/>
      <c r="P62" s="10"/>
      <c r="Q62" s="11"/>
      <c r="R62" s="9"/>
      <c r="S62" s="11"/>
      <c r="T62" s="9"/>
      <c r="U62" s="11"/>
      <c r="V62" s="9"/>
      <c r="W62" s="9"/>
      <c r="X62" s="9"/>
      <c r="Y62" s="11"/>
    </row>
    <row r="63" spans="15:25" x14ac:dyDescent="0.35">
      <c r="O63" s="9"/>
      <c r="P63" s="10"/>
      <c r="Q63" s="11"/>
      <c r="R63" s="9"/>
      <c r="S63" s="11"/>
      <c r="T63" s="9"/>
      <c r="U63" s="11"/>
      <c r="V63" s="9"/>
      <c r="W63" s="9"/>
      <c r="X63" s="9"/>
      <c r="Y63" s="11"/>
    </row>
    <row r="64" spans="15:25" x14ac:dyDescent="0.35">
      <c r="O64" s="9"/>
      <c r="P64" s="10"/>
      <c r="Q64" s="11"/>
      <c r="R64" s="9"/>
      <c r="S64" s="11"/>
      <c r="T64" s="9"/>
      <c r="U64" s="11"/>
      <c r="V64" s="9"/>
      <c r="W64" s="9"/>
      <c r="X64" s="9"/>
      <c r="Y64" s="11"/>
    </row>
    <row r="65" spans="15:25" x14ac:dyDescent="0.35">
      <c r="O65" s="9"/>
      <c r="P65" s="10"/>
      <c r="Q65" s="11"/>
      <c r="R65" s="9"/>
      <c r="S65" s="11"/>
      <c r="T65" s="9"/>
      <c r="U65" s="11"/>
      <c r="V65" s="9"/>
      <c r="W65" s="9"/>
      <c r="X65" s="9"/>
      <c r="Y65" s="11"/>
    </row>
    <row r="66" spans="15:25" x14ac:dyDescent="0.35">
      <c r="O66" s="5"/>
      <c r="P66" s="5"/>
      <c r="Q66" s="6"/>
      <c r="R66" s="7"/>
      <c r="S66" s="7"/>
      <c r="T66" s="7"/>
      <c r="U66" s="7"/>
      <c r="V66" s="7"/>
      <c r="W66" s="7"/>
      <c r="X66" s="7"/>
      <c r="Y66" s="7"/>
    </row>
    <row r="67" spans="15:25" x14ac:dyDescent="0.35"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</row>
    <row r="68" spans="15:25" x14ac:dyDescent="0.35"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</row>
    <row r="69" spans="15:25" x14ac:dyDescent="0.35">
      <c r="O69" s="169"/>
      <c r="P69" s="169"/>
      <c r="Q69" s="8"/>
      <c r="R69" s="8"/>
      <c r="S69" s="8"/>
      <c r="T69" s="8"/>
      <c r="U69" s="8"/>
      <c r="V69" s="8"/>
      <c r="W69" s="8"/>
      <c r="X69" s="8"/>
      <c r="Y69" s="169"/>
    </row>
    <row r="70" spans="15:25" x14ac:dyDescent="0.35">
      <c r="O70" s="9"/>
      <c r="P70" s="10"/>
      <c r="Q70" s="11"/>
      <c r="R70" s="9"/>
      <c r="S70" s="11"/>
      <c r="T70" s="9"/>
      <c r="U70" s="11"/>
      <c r="V70" s="9"/>
      <c r="W70" s="9"/>
      <c r="X70" s="9"/>
      <c r="Y70" s="11"/>
    </row>
    <row r="71" spans="15:25" x14ac:dyDescent="0.35">
      <c r="O71" s="9"/>
      <c r="P71" s="10"/>
      <c r="Q71" s="11"/>
      <c r="R71" s="9"/>
      <c r="S71" s="11"/>
      <c r="T71" s="9"/>
      <c r="U71" s="11"/>
      <c r="V71" s="9"/>
      <c r="W71" s="9"/>
      <c r="X71" s="9"/>
      <c r="Y71" s="11"/>
    </row>
    <row r="72" spans="15:25" x14ac:dyDescent="0.35">
      <c r="O72" s="9"/>
      <c r="P72" s="10"/>
      <c r="Q72" s="11"/>
      <c r="R72" s="9"/>
      <c r="S72" s="11"/>
      <c r="T72" s="9"/>
      <c r="U72" s="11"/>
      <c r="V72" s="9"/>
      <c r="W72" s="9"/>
      <c r="X72" s="9"/>
      <c r="Y72" s="11"/>
    </row>
  </sheetData>
  <sortState xmlns:xlrd2="http://schemas.microsoft.com/office/spreadsheetml/2017/richdata2" ref="B5:N40">
    <sortCondition ref="B5:B40"/>
  </sortState>
  <mergeCells count="65">
    <mergeCell ref="B2:N2"/>
    <mergeCell ref="Y59:Y60"/>
    <mergeCell ref="O58:Y58"/>
    <mergeCell ref="U23:V23"/>
    <mergeCell ref="Y42:Y43"/>
    <mergeCell ref="O41:Y41"/>
    <mergeCell ref="O51:O52"/>
    <mergeCell ref="P51:P52"/>
    <mergeCell ref="Q51:R51"/>
    <mergeCell ref="S51:T51"/>
    <mergeCell ref="U51:V51"/>
    <mergeCell ref="W51:X51"/>
    <mergeCell ref="Y51:Y52"/>
    <mergeCell ref="O50:Y50"/>
    <mergeCell ref="Y68:Y69"/>
    <mergeCell ref="O67:Y67"/>
    <mergeCell ref="O59:O60"/>
    <mergeCell ref="P59:P60"/>
    <mergeCell ref="Q59:R59"/>
    <mergeCell ref="S59:T59"/>
    <mergeCell ref="W59:X59"/>
    <mergeCell ref="O68:O69"/>
    <mergeCell ref="P68:P69"/>
    <mergeCell ref="Q68:R68"/>
    <mergeCell ref="S68:T68"/>
    <mergeCell ref="U68:V68"/>
    <mergeCell ref="U59:V59"/>
    <mergeCell ref="P42:P43"/>
    <mergeCell ref="Q42:R42"/>
    <mergeCell ref="S42:T42"/>
    <mergeCell ref="U7:V7"/>
    <mergeCell ref="W68:X68"/>
    <mergeCell ref="U42:V42"/>
    <mergeCell ref="W42:X42"/>
    <mergeCell ref="Y23:Y24"/>
    <mergeCell ref="O22:Y22"/>
    <mergeCell ref="O33:O34"/>
    <mergeCell ref="P33:P34"/>
    <mergeCell ref="Q33:R33"/>
    <mergeCell ref="S33:T33"/>
    <mergeCell ref="U33:V33"/>
    <mergeCell ref="W33:X33"/>
    <mergeCell ref="Y33:Y34"/>
    <mergeCell ref="O32:Y32"/>
    <mergeCell ref="O23:O24"/>
    <mergeCell ref="P23:P24"/>
    <mergeCell ref="Q23:R23"/>
    <mergeCell ref="S23:T23"/>
    <mergeCell ref="O42:O43"/>
    <mergeCell ref="W7:X7"/>
    <mergeCell ref="W23:X23"/>
    <mergeCell ref="Y7:Y8"/>
    <mergeCell ref="O6:Y6"/>
    <mergeCell ref="O15:O16"/>
    <mergeCell ref="P15:P16"/>
    <mergeCell ref="Q15:R15"/>
    <mergeCell ref="S15:T15"/>
    <mergeCell ref="U15:V15"/>
    <mergeCell ref="W15:X15"/>
    <mergeCell ref="Y15:Y16"/>
    <mergeCell ref="O14:Y14"/>
    <mergeCell ref="O7:O8"/>
    <mergeCell ref="P7:P8"/>
    <mergeCell ref="Q7:R7"/>
    <mergeCell ref="S7:T7"/>
  </mergeCells>
  <conditionalFormatting sqref="M5:M40">
    <cfRule type="cellIs" dxfId="2" priority="1" operator="greaterThanOrEqual">
      <formula>0.6</formula>
    </cfRule>
    <cfRule type="cellIs" dxfId="1" priority="2" operator="lessThan">
      <formula>0.4</formula>
    </cfRule>
    <cfRule type="cellIs" dxfId="0" priority="3" operator="between">
      <formula>0.4</formula>
      <formula>0.6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1187-4C9A-4543-A6B0-4A16AB96F326}">
  <dimension ref="B2:G40"/>
  <sheetViews>
    <sheetView workbookViewId="0">
      <selection activeCell="I17" sqref="I17"/>
    </sheetView>
  </sheetViews>
  <sheetFormatPr defaultRowHeight="14.5" x14ac:dyDescent="0.35"/>
  <cols>
    <col min="2" max="2" width="7.6328125" customWidth="1"/>
    <col min="3" max="3" width="17.26953125" customWidth="1"/>
    <col min="4" max="4" width="18.1796875" customWidth="1"/>
    <col min="5" max="5" width="17.26953125" customWidth="1"/>
    <col min="6" max="7" width="14.54296875" customWidth="1"/>
  </cols>
  <sheetData>
    <row r="2" spans="2:7" ht="28" customHeight="1" x14ac:dyDescent="0.35">
      <c r="B2" s="171" t="s">
        <v>166</v>
      </c>
      <c r="C2" s="171"/>
      <c r="D2" s="171"/>
      <c r="E2" s="171"/>
      <c r="F2" s="171"/>
      <c r="G2" s="171"/>
    </row>
    <row r="4" spans="2:7" ht="34" customHeight="1" x14ac:dyDescent="0.35">
      <c r="B4" s="20" t="s">
        <v>0</v>
      </c>
      <c r="C4" s="19" t="s">
        <v>1</v>
      </c>
      <c r="D4" s="19" t="s">
        <v>140</v>
      </c>
      <c r="E4" s="19" t="s">
        <v>141</v>
      </c>
      <c r="F4" s="19" t="s">
        <v>142</v>
      </c>
      <c r="G4" s="21" t="s">
        <v>159</v>
      </c>
    </row>
    <row r="5" spans="2:7" x14ac:dyDescent="0.35">
      <c r="B5" s="33" t="s">
        <v>7</v>
      </c>
      <c r="C5" s="22" t="s">
        <v>8</v>
      </c>
      <c r="D5" s="57">
        <v>14427</v>
      </c>
      <c r="E5" s="39">
        <f t="shared" ref="E5:E40" si="0">ROUND(D5*0.68,0)</f>
        <v>9810</v>
      </c>
      <c r="F5" s="39">
        <f t="shared" ref="F5:F40" si="1">ROUND(E5*0.51,0)</f>
        <v>5003</v>
      </c>
      <c r="G5" s="36">
        <f t="shared" ref="G5:G40" si="2">RANK(F5,$F$5:$F$40)</f>
        <v>29</v>
      </c>
    </row>
    <row r="6" spans="2:7" x14ac:dyDescent="0.35">
      <c r="B6" s="33" t="s">
        <v>9</v>
      </c>
      <c r="C6" s="22" t="s">
        <v>10</v>
      </c>
      <c r="D6" s="57">
        <v>12880</v>
      </c>
      <c r="E6" s="39">
        <f t="shared" si="0"/>
        <v>8758</v>
      </c>
      <c r="F6" s="39">
        <f t="shared" si="1"/>
        <v>4467</v>
      </c>
      <c r="G6" s="36">
        <f t="shared" si="2"/>
        <v>33</v>
      </c>
    </row>
    <row r="7" spans="2:7" x14ac:dyDescent="0.35">
      <c r="B7" s="34" t="s">
        <v>11</v>
      </c>
      <c r="C7" s="26" t="s">
        <v>12</v>
      </c>
      <c r="D7" s="58">
        <v>19711</v>
      </c>
      <c r="E7" s="40">
        <f t="shared" si="0"/>
        <v>13403</v>
      </c>
      <c r="F7" s="40">
        <f t="shared" si="1"/>
        <v>6836</v>
      </c>
      <c r="G7" s="37">
        <f t="shared" si="2"/>
        <v>22</v>
      </c>
    </row>
    <row r="8" spans="2:7" x14ac:dyDescent="0.35">
      <c r="B8" s="33" t="s">
        <v>13</v>
      </c>
      <c r="C8" s="22" t="s">
        <v>14</v>
      </c>
      <c r="D8" s="57">
        <v>13329</v>
      </c>
      <c r="E8" s="39">
        <f t="shared" si="0"/>
        <v>9064</v>
      </c>
      <c r="F8" s="39">
        <f t="shared" si="1"/>
        <v>4623</v>
      </c>
      <c r="G8" s="36">
        <f t="shared" si="2"/>
        <v>31</v>
      </c>
    </row>
    <row r="9" spans="2:7" x14ac:dyDescent="0.35">
      <c r="B9" s="34" t="s">
        <v>15</v>
      </c>
      <c r="C9" s="26" t="s">
        <v>16</v>
      </c>
      <c r="D9" s="58">
        <v>30593</v>
      </c>
      <c r="E9" s="40">
        <f t="shared" si="0"/>
        <v>20803</v>
      </c>
      <c r="F9" s="40">
        <f t="shared" si="1"/>
        <v>10610</v>
      </c>
      <c r="G9" s="37">
        <f t="shared" si="2"/>
        <v>8</v>
      </c>
    </row>
    <row r="10" spans="2:7" x14ac:dyDescent="0.35">
      <c r="B10" s="34" t="s">
        <v>17</v>
      </c>
      <c r="C10" s="26" t="s">
        <v>18</v>
      </c>
      <c r="D10" s="58">
        <v>23548</v>
      </c>
      <c r="E10" s="40">
        <f t="shared" si="0"/>
        <v>16013</v>
      </c>
      <c r="F10" s="40">
        <f t="shared" si="1"/>
        <v>8167</v>
      </c>
      <c r="G10" s="37">
        <f t="shared" si="2"/>
        <v>18</v>
      </c>
    </row>
    <row r="11" spans="2:7" x14ac:dyDescent="0.35">
      <c r="B11" s="33" t="s">
        <v>19</v>
      </c>
      <c r="C11" s="22" t="s">
        <v>20</v>
      </c>
      <c r="D11" s="57">
        <v>16539</v>
      </c>
      <c r="E11" s="39">
        <f t="shared" si="0"/>
        <v>11247</v>
      </c>
      <c r="F11" s="39">
        <f t="shared" si="1"/>
        <v>5736</v>
      </c>
      <c r="G11" s="36">
        <f t="shared" si="2"/>
        <v>27</v>
      </c>
    </row>
    <row r="12" spans="2:7" x14ac:dyDescent="0.35">
      <c r="B12" s="34" t="s">
        <v>21</v>
      </c>
      <c r="C12" s="26" t="s">
        <v>22</v>
      </c>
      <c r="D12" s="58">
        <v>25951</v>
      </c>
      <c r="E12" s="40">
        <f t="shared" si="0"/>
        <v>17647</v>
      </c>
      <c r="F12" s="40">
        <f t="shared" si="1"/>
        <v>9000</v>
      </c>
      <c r="G12" s="37">
        <f t="shared" si="2"/>
        <v>16</v>
      </c>
    </row>
    <row r="13" spans="2:7" x14ac:dyDescent="0.35">
      <c r="B13" s="33" t="s">
        <v>23</v>
      </c>
      <c r="C13" s="22" t="s">
        <v>24</v>
      </c>
      <c r="D13" s="57">
        <v>28671</v>
      </c>
      <c r="E13" s="39">
        <f t="shared" si="0"/>
        <v>19496</v>
      </c>
      <c r="F13" s="39">
        <f t="shared" si="1"/>
        <v>9943</v>
      </c>
      <c r="G13" s="36">
        <f t="shared" si="2"/>
        <v>11</v>
      </c>
    </row>
    <row r="14" spans="2:7" x14ac:dyDescent="0.35">
      <c r="B14" s="33" t="s">
        <v>25</v>
      </c>
      <c r="C14" s="22" t="s">
        <v>26</v>
      </c>
      <c r="D14" s="57">
        <v>45487</v>
      </c>
      <c r="E14" s="39">
        <f t="shared" si="0"/>
        <v>30931</v>
      </c>
      <c r="F14" s="39">
        <f t="shared" si="1"/>
        <v>15775</v>
      </c>
      <c r="G14" s="36">
        <f t="shared" si="2"/>
        <v>3</v>
      </c>
    </row>
    <row r="15" spans="2:7" x14ac:dyDescent="0.35">
      <c r="B15" s="33" t="s">
        <v>27</v>
      </c>
      <c r="C15" s="22" t="s">
        <v>28</v>
      </c>
      <c r="D15" s="57">
        <v>23141</v>
      </c>
      <c r="E15" s="39">
        <f t="shared" si="0"/>
        <v>15736</v>
      </c>
      <c r="F15" s="39">
        <f t="shared" si="1"/>
        <v>8025</v>
      </c>
      <c r="G15" s="36">
        <f t="shared" si="2"/>
        <v>19</v>
      </c>
    </row>
    <row r="16" spans="2:7" x14ac:dyDescent="0.35">
      <c r="B16" s="34" t="s">
        <v>29</v>
      </c>
      <c r="C16" s="26" t="s">
        <v>30</v>
      </c>
      <c r="D16" s="58">
        <v>12975</v>
      </c>
      <c r="E16" s="40">
        <f t="shared" si="0"/>
        <v>8823</v>
      </c>
      <c r="F16" s="40">
        <f t="shared" si="1"/>
        <v>4500</v>
      </c>
      <c r="G16" s="37">
        <f t="shared" si="2"/>
        <v>32</v>
      </c>
    </row>
    <row r="17" spans="2:7" x14ac:dyDescent="0.35">
      <c r="B17" s="33" t="s">
        <v>31</v>
      </c>
      <c r="C17" s="22" t="s">
        <v>32</v>
      </c>
      <c r="D17" s="57">
        <v>33885</v>
      </c>
      <c r="E17" s="39">
        <f t="shared" si="0"/>
        <v>23042</v>
      </c>
      <c r="F17" s="39">
        <f t="shared" si="1"/>
        <v>11751</v>
      </c>
      <c r="G17" s="36">
        <f t="shared" si="2"/>
        <v>5</v>
      </c>
    </row>
    <row r="18" spans="2:7" x14ac:dyDescent="0.35">
      <c r="B18" s="34" t="s">
        <v>33</v>
      </c>
      <c r="C18" s="26" t="s">
        <v>34</v>
      </c>
      <c r="D18" s="58">
        <v>21338</v>
      </c>
      <c r="E18" s="40">
        <f t="shared" si="0"/>
        <v>14510</v>
      </c>
      <c r="F18" s="40">
        <f t="shared" si="1"/>
        <v>7400</v>
      </c>
      <c r="G18" s="37">
        <f t="shared" si="2"/>
        <v>20</v>
      </c>
    </row>
    <row r="19" spans="2:7" x14ac:dyDescent="0.35">
      <c r="B19" s="34" t="s">
        <v>35</v>
      </c>
      <c r="C19" s="26" t="s">
        <v>36</v>
      </c>
      <c r="D19" s="58">
        <v>13669</v>
      </c>
      <c r="E19" s="40">
        <f t="shared" si="0"/>
        <v>9295</v>
      </c>
      <c r="F19" s="40">
        <f t="shared" si="1"/>
        <v>4740</v>
      </c>
      <c r="G19" s="37">
        <f t="shared" si="2"/>
        <v>30</v>
      </c>
    </row>
    <row r="20" spans="2:7" x14ac:dyDescent="0.35">
      <c r="B20" s="33" t="s">
        <v>37</v>
      </c>
      <c r="C20" s="22" t="s">
        <v>38</v>
      </c>
      <c r="D20" s="57">
        <v>10100</v>
      </c>
      <c r="E20" s="39">
        <f t="shared" si="0"/>
        <v>6868</v>
      </c>
      <c r="F20" s="39">
        <f t="shared" si="1"/>
        <v>3503</v>
      </c>
      <c r="G20" s="36">
        <f t="shared" si="2"/>
        <v>35</v>
      </c>
    </row>
    <row r="21" spans="2:7" x14ac:dyDescent="0.35">
      <c r="B21" s="34" t="s">
        <v>39</v>
      </c>
      <c r="C21" s="26" t="s">
        <v>40</v>
      </c>
      <c r="D21" s="58">
        <v>9914</v>
      </c>
      <c r="E21" s="40">
        <f t="shared" si="0"/>
        <v>6742</v>
      </c>
      <c r="F21" s="40">
        <f t="shared" si="1"/>
        <v>3438</v>
      </c>
      <c r="G21" s="37">
        <f t="shared" si="2"/>
        <v>36</v>
      </c>
    </row>
    <row r="22" spans="2:7" x14ac:dyDescent="0.35">
      <c r="B22" s="33" t="s">
        <v>41</v>
      </c>
      <c r="C22" s="22" t="s">
        <v>42</v>
      </c>
      <c r="D22" s="57">
        <v>17963</v>
      </c>
      <c r="E22" s="39">
        <f t="shared" si="0"/>
        <v>12215</v>
      </c>
      <c r="F22" s="39">
        <f t="shared" si="1"/>
        <v>6230</v>
      </c>
      <c r="G22" s="36">
        <f t="shared" si="2"/>
        <v>25</v>
      </c>
    </row>
    <row r="23" spans="2:7" x14ac:dyDescent="0.35">
      <c r="B23" s="34" t="s">
        <v>43</v>
      </c>
      <c r="C23" s="26" t="s">
        <v>44</v>
      </c>
      <c r="D23" s="58">
        <v>12359</v>
      </c>
      <c r="E23" s="40">
        <f t="shared" si="0"/>
        <v>8404</v>
      </c>
      <c r="F23" s="40">
        <f t="shared" si="1"/>
        <v>4286</v>
      </c>
      <c r="G23" s="37">
        <f t="shared" si="2"/>
        <v>34</v>
      </c>
    </row>
    <row r="24" spans="2:7" x14ac:dyDescent="0.35">
      <c r="B24" s="33" t="s">
        <v>45</v>
      </c>
      <c r="C24" s="22" t="s">
        <v>46</v>
      </c>
      <c r="D24" s="57">
        <v>32575</v>
      </c>
      <c r="E24" s="39">
        <f t="shared" si="0"/>
        <v>22151</v>
      </c>
      <c r="F24" s="39">
        <f t="shared" si="1"/>
        <v>11297</v>
      </c>
      <c r="G24" s="36">
        <f t="shared" si="2"/>
        <v>7</v>
      </c>
    </row>
    <row r="25" spans="2:7" x14ac:dyDescent="0.35">
      <c r="B25" s="34" t="s">
        <v>47</v>
      </c>
      <c r="C25" s="26" t="s">
        <v>48</v>
      </c>
      <c r="D25" s="58">
        <v>49248</v>
      </c>
      <c r="E25" s="40">
        <f t="shared" si="0"/>
        <v>33489</v>
      </c>
      <c r="F25" s="40">
        <f t="shared" si="1"/>
        <v>17079</v>
      </c>
      <c r="G25" s="37">
        <f t="shared" si="2"/>
        <v>2</v>
      </c>
    </row>
    <row r="26" spans="2:7" x14ac:dyDescent="0.35">
      <c r="B26" s="33" t="s">
        <v>49</v>
      </c>
      <c r="C26" s="22" t="s">
        <v>50</v>
      </c>
      <c r="D26" s="57">
        <v>19608</v>
      </c>
      <c r="E26" s="39">
        <f t="shared" si="0"/>
        <v>13333</v>
      </c>
      <c r="F26" s="39">
        <f t="shared" si="1"/>
        <v>6800</v>
      </c>
      <c r="G26" s="36">
        <f t="shared" si="2"/>
        <v>23</v>
      </c>
    </row>
    <row r="27" spans="2:7" x14ac:dyDescent="0.35">
      <c r="B27" s="33" t="s">
        <v>51</v>
      </c>
      <c r="C27" s="22" t="s">
        <v>52</v>
      </c>
      <c r="D27" s="57">
        <v>30316</v>
      </c>
      <c r="E27" s="39">
        <f t="shared" si="0"/>
        <v>20615</v>
      </c>
      <c r="F27" s="39">
        <f t="shared" si="1"/>
        <v>10514</v>
      </c>
      <c r="G27" s="36">
        <f t="shared" si="2"/>
        <v>9</v>
      </c>
    </row>
    <row r="28" spans="2:7" x14ac:dyDescent="0.35">
      <c r="B28" s="34" t="s">
        <v>53</v>
      </c>
      <c r="C28" s="26" t="s">
        <v>54</v>
      </c>
      <c r="D28" s="58">
        <v>32899</v>
      </c>
      <c r="E28" s="40">
        <f t="shared" si="0"/>
        <v>22371</v>
      </c>
      <c r="F28" s="40">
        <f t="shared" si="1"/>
        <v>11409</v>
      </c>
      <c r="G28" s="37">
        <f t="shared" si="2"/>
        <v>6</v>
      </c>
    </row>
    <row r="29" spans="2:7" x14ac:dyDescent="0.35">
      <c r="B29" s="33" t="s">
        <v>55</v>
      </c>
      <c r="C29" s="22" t="s">
        <v>56</v>
      </c>
      <c r="D29" s="57">
        <v>64582</v>
      </c>
      <c r="E29" s="39">
        <f t="shared" si="0"/>
        <v>43916</v>
      </c>
      <c r="F29" s="39">
        <f t="shared" si="1"/>
        <v>22397</v>
      </c>
      <c r="G29" s="36">
        <f t="shared" si="2"/>
        <v>1</v>
      </c>
    </row>
    <row r="30" spans="2:7" x14ac:dyDescent="0.35">
      <c r="B30" s="33" t="s">
        <v>57</v>
      </c>
      <c r="C30" s="22" t="s">
        <v>58</v>
      </c>
      <c r="D30" s="57">
        <v>26440</v>
      </c>
      <c r="E30" s="39">
        <f t="shared" si="0"/>
        <v>17979</v>
      </c>
      <c r="F30" s="39">
        <f t="shared" si="1"/>
        <v>9169</v>
      </c>
      <c r="G30" s="36">
        <f t="shared" si="2"/>
        <v>15</v>
      </c>
    </row>
    <row r="31" spans="2:7" x14ac:dyDescent="0.35">
      <c r="B31" s="34" t="s">
        <v>59</v>
      </c>
      <c r="C31" s="26" t="s">
        <v>60</v>
      </c>
      <c r="D31" s="58">
        <v>34636</v>
      </c>
      <c r="E31" s="40">
        <f t="shared" si="0"/>
        <v>23552</v>
      </c>
      <c r="F31" s="40">
        <f t="shared" si="1"/>
        <v>12012</v>
      </c>
      <c r="G31" s="37">
        <f t="shared" si="2"/>
        <v>4</v>
      </c>
    </row>
    <row r="32" spans="2:7" x14ac:dyDescent="0.35">
      <c r="B32" s="34" t="s">
        <v>61</v>
      </c>
      <c r="C32" s="26" t="s">
        <v>62</v>
      </c>
      <c r="D32" s="58">
        <v>16730</v>
      </c>
      <c r="E32" s="40">
        <f t="shared" si="0"/>
        <v>11376</v>
      </c>
      <c r="F32" s="40">
        <f t="shared" si="1"/>
        <v>5802</v>
      </c>
      <c r="G32" s="37">
        <f t="shared" si="2"/>
        <v>26</v>
      </c>
    </row>
    <row r="33" spans="2:7" x14ac:dyDescent="0.35">
      <c r="B33" s="34" t="s">
        <v>63</v>
      </c>
      <c r="C33" s="26" t="s">
        <v>64</v>
      </c>
      <c r="D33" s="58">
        <v>15141</v>
      </c>
      <c r="E33" s="40">
        <f t="shared" si="0"/>
        <v>10296</v>
      </c>
      <c r="F33" s="40">
        <f t="shared" si="1"/>
        <v>5251</v>
      </c>
      <c r="G33" s="37">
        <f t="shared" si="2"/>
        <v>28</v>
      </c>
    </row>
    <row r="34" spans="2:7" x14ac:dyDescent="0.35">
      <c r="B34" s="34" t="s">
        <v>65</v>
      </c>
      <c r="C34" s="26" t="s">
        <v>66</v>
      </c>
      <c r="D34" s="58">
        <v>28010</v>
      </c>
      <c r="E34" s="40">
        <f t="shared" si="0"/>
        <v>19047</v>
      </c>
      <c r="F34" s="40">
        <f t="shared" si="1"/>
        <v>9714</v>
      </c>
      <c r="G34" s="37">
        <f t="shared" si="2"/>
        <v>12</v>
      </c>
    </row>
    <row r="35" spans="2:7" x14ac:dyDescent="0.35">
      <c r="B35" s="33" t="s">
        <v>67</v>
      </c>
      <c r="C35" s="22" t="s">
        <v>68</v>
      </c>
      <c r="D35" s="57">
        <v>27926</v>
      </c>
      <c r="E35" s="39">
        <f t="shared" si="0"/>
        <v>18990</v>
      </c>
      <c r="F35" s="39">
        <f t="shared" si="1"/>
        <v>9685</v>
      </c>
      <c r="G35" s="36">
        <f t="shared" si="2"/>
        <v>13</v>
      </c>
    </row>
    <row r="36" spans="2:7" x14ac:dyDescent="0.35">
      <c r="B36" s="33" t="s">
        <v>69</v>
      </c>
      <c r="C36" s="22" t="s">
        <v>70</v>
      </c>
      <c r="D36" s="57">
        <v>20768</v>
      </c>
      <c r="E36" s="39">
        <f t="shared" si="0"/>
        <v>14122</v>
      </c>
      <c r="F36" s="39">
        <f t="shared" si="1"/>
        <v>7202</v>
      </c>
      <c r="G36" s="36">
        <f t="shared" si="2"/>
        <v>21</v>
      </c>
    </row>
    <row r="37" spans="2:7" x14ac:dyDescent="0.35">
      <c r="B37" s="34" t="s">
        <v>71</v>
      </c>
      <c r="C37" s="26" t="s">
        <v>72</v>
      </c>
      <c r="D37" s="58">
        <v>19585</v>
      </c>
      <c r="E37" s="40">
        <f t="shared" si="0"/>
        <v>13318</v>
      </c>
      <c r="F37" s="40">
        <f t="shared" si="1"/>
        <v>6792</v>
      </c>
      <c r="G37" s="37">
        <f t="shared" si="2"/>
        <v>24</v>
      </c>
    </row>
    <row r="38" spans="2:7" x14ac:dyDescent="0.35">
      <c r="B38" s="34" t="s">
        <v>73</v>
      </c>
      <c r="C38" s="26" t="s">
        <v>74</v>
      </c>
      <c r="D38" s="58">
        <v>29235</v>
      </c>
      <c r="E38" s="40">
        <f t="shared" si="0"/>
        <v>19880</v>
      </c>
      <c r="F38" s="40">
        <f t="shared" si="1"/>
        <v>10139</v>
      </c>
      <c r="G38" s="37">
        <f t="shared" si="2"/>
        <v>10</v>
      </c>
    </row>
    <row r="39" spans="2:7" x14ac:dyDescent="0.35">
      <c r="B39" s="33" t="s">
        <v>75</v>
      </c>
      <c r="C39" s="22" t="s">
        <v>76</v>
      </c>
      <c r="D39" s="57">
        <v>24878</v>
      </c>
      <c r="E39" s="39">
        <f t="shared" si="0"/>
        <v>16917</v>
      </c>
      <c r="F39" s="39">
        <f t="shared" si="1"/>
        <v>8628</v>
      </c>
      <c r="G39" s="36">
        <f t="shared" si="2"/>
        <v>17</v>
      </c>
    </row>
    <row r="40" spans="2:7" x14ac:dyDescent="0.35">
      <c r="B40" s="35" t="s">
        <v>77</v>
      </c>
      <c r="C40" s="29" t="s">
        <v>78</v>
      </c>
      <c r="D40" s="59">
        <v>27830</v>
      </c>
      <c r="E40" s="41">
        <f t="shared" si="0"/>
        <v>18924</v>
      </c>
      <c r="F40" s="41">
        <f t="shared" si="1"/>
        <v>9651</v>
      </c>
      <c r="G40" s="38">
        <f t="shared" si="2"/>
        <v>14</v>
      </c>
    </row>
  </sheetData>
  <sortState xmlns:xlrd2="http://schemas.microsoft.com/office/spreadsheetml/2017/richdata2" ref="B5:G40">
    <sortCondition ref="B5:B40"/>
  </sortState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F34F-4643-4E78-9E06-4716ED837E2A}">
  <dimension ref="B2:G40"/>
  <sheetViews>
    <sheetView workbookViewId="0">
      <selection activeCell="B4" sqref="B4:G40"/>
    </sheetView>
  </sheetViews>
  <sheetFormatPr defaultRowHeight="14.5" x14ac:dyDescent="0.35"/>
  <cols>
    <col min="2" max="2" width="7.6328125" customWidth="1"/>
    <col min="3" max="4" width="17.26953125" customWidth="1"/>
    <col min="5" max="6" width="15.453125" customWidth="1"/>
    <col min="7" max="7" width="12.7265625" customWidth="1"/>
  </cols>
  <sheetData>
    <row r="2" spans="2:7" ht="28" customHeight="1" x14ac:dyDescent="0.35">
      <c r="B2" s="171" t="s">
        <v>167</v>
      </c>
      <c r="C2" s="171"/>
      <c r="D2" s="171"/>
      <c r="E2" s="171"/>
      <c r="F2" s="171"/>
      <c r="G2" s="171"/>
    </row>
    <row r="4" spans="2:7" ht="34" customHeight="1" x14ac:dyDescent="0.35">
      <c r="B4" s="20" t="s">
        <v>0</v>
      </c>
      <c r="C4" s="19" t="s">
        <v>1</v>
      </c>
      <c r="D4" s="19" t="s">
        <v>160</v>
      </c>
      <c r="E4" s="19" t="s">
        <v>142</v>
      </c>
      <c r="F4" s="19" t="s">
        <v>143</v>
      </c>
      <c r="G4" s="21" t="s">
        <v>79</v>
      </c>
    </row>
    <row r="5" spans="2:7" x14ac:dyDescent="0.35">
      <c r="B5" s="33" t="s">
        <v>7</v>
      </c>
      <c r="C5" s="22" t="s">
        <v>8</v>
      </c>
      <c r="D5" s="39">
        <f>_xlfn.XLOOKUP($B5,'(1) Majoriti'!$B$4:$B$39,'(1) Majoriti'!$G$4:$G$39)</f>
        <v>3688</v>
      </c>
      <c r="E5" s="39">
        <f>_xlfn.XLOOKUP($B5,'(3) SKT 51%'!$B$5:$B$40,'(3) SKT 51%'!$F$5:$F$40)</f>
        <v>5003</v>
      </c>
      <c r="F5" s="39">
        <f t="shared" ref="F5:F40" si="0">D5-E5</f>
        <v>-1315</v>
      </c>
      <c r="G5" s="36">
        <f t="shared" ref="G5:G40" si="1">RANK(F5,$F$5:$F$40)</f>
        <v>18</v>
      </c>
    </row>
    <row r="6" spans="2:7" x14ac:dyDescent="0.35">
      <c r="B6" s="34" t="s">
        <v>9</v>
      </c>
      <c r="C6" s="26" t="s">
        <v>10</v>
      </c>
      <c r="D6" s="40">
        <f>_xlfn.XLOOKUP($B6,'(1) Majoriti'!$B$4:$B$39,'(1) Majoriti'!$G$4:$G$39)</f>
        <v>2844</v>
      </c>
      <c r="E6" s="40">
        <f>_xlfn.XLOOKUP($B6,'(3) SKT 51%'!$B$5:$B$40,'(3) SKT 51%'!$F$5:$F$40)</f>
        <v>4467</v>
      </c>
      <c r="F6" s="40">
        <f t="shared" si="0"/>
        <v>-1623</v>
      </c>
      <c r="G6" s="36">
        <f t="shared" si="1"/>
        <v>19</v>
      </c>
    </row>
    <row r="7" spans="2:7" x14ac:dyDescent="0.35">
      <c r="B7" s="34" t="s">
        <v>11</v>
      </c>
      <c r="C7" s="26" t="s">
        <v>12</v>
      </c>
      <c r="D7" s="40">
        <f>_xlfn.XLOOKUP($B7,'(1) Majoriti'!$B$4:$B$39,'(1) Majoriti'!$G$4:$G$39)</f>
        <v>6404</v>
      </c>
      <c r="E7" s="40">
        <f>_xlfn.XLOOKUP($B7,'(3) SKT 51%'!$B$5:$B$40,'(3) SKT 51%'!$F$5:$F$40)</f>
        <v>6836</v>
      </c>
      <c r="F7" s="40">
        <f t="shared" si="0"/>
        <v>-432</v>
      </c>
      <c r="G7" s="36">
        <f t="shared" si="1"/>
        <v>10</v>
      </c>
    </row>
    <row r="8" spans="2:7" x14ac:dyDescent="0.35">
      <c r="B8" s="34" t="s">
        <v>13</v>
      </c>
      <c r="C8" s="26" t="s">
        <v>14</v>
      </c>
      <c r="D8" s="40">
        <f>_xlfn.XLOOKUP($B8,'(1) Majoriti'!$B$4:$B$39,'(1) Majoriti'!$G$4:$G$39)</f>
        <v>4021</v>
      </c>
      <c r="E8" s="40">
        <f>_xlfn.XLOOKUP($B8,'(3) SKT 51%'!$B$5:$B$40,'(3) SKT 51%'!$F$5:$F$40)</f>
        <v>4623</v>
      </c>
      <c r="F8" s="40">
        <f t="shared" si="0"/>
        <v>-602</v>
      </c>
      <c r="G8" s="36">
        <f t="shared" si="1"/>
        <v>12</v>
      </c>
    </row>
    <row r="9" spans="2:7" x14ac:dyDescent="0.35">
      <c r="B9" s="33" t="s">
        <v>15</v>
      </c>
      <c r="C9" s="22" t="s">
        <v>16</v>
      </c>
      <c r="D9" s="39">
        <f>_xlfn.XLOOKUP($B9,'(1) Majoriti'!$B$4:$B$39,'(1) Majoriti'!$G$4:$G$39)</f>
        <v>10312</v>
      </c>
      <c r="E9" s="39">
        <f>_xlfn.XLOOKUP($B9,'(3) SKT 51%'!$B$5:$B$40,'(3) SKT 51%'!$F$5:$F$40)</f>
        <v>10610</v>
      </c>
      <c r="F9" s="39">
        <f t="shared" si="0"/>
        <v>-298</v>
      </c>
      <c r="G9" s="36">
        <f t="shared" si="1"/>
        <v>8</v>
      </c>
    </row>
    <row r="10" spans="2:7" x14ac:dyDescent="0.35">
      <c r="B10" s="33" t="s">
        <v>17</v>
      </c>
      <c r="C10" s="22" t="s">
        <v>18</v>
      </c>
      <c r="D10" s="39">
        <f>_xlfn.XLOOKUP($B10,'(1) Majoriti'!$B$4:$B$39,'(1) Majoriti'!$G$4:$G$39)</f>
        <v>7376</v>
      </c>
      <c r="E10" s="39">
        <f>_xlfn.XLOOKUP($B10,'(3) SKT 51%'!$B$5:$B$40,'(3) SKT 51%'!$F$5:$F$40)</f>
        <v>8167</v>
      </c>
      <c r="F10" s="39">
        <f t="shared" si="0"/>
        <v>-791</v>
      </c>
      <c r="G10" s="36">
        <f t="shared" si="1"/>
        <v>13</v>
      </c>
    </row>
    <row r="11" spans="2:7" x14ac:dyDescent="0.35">
      <c r="B11" s="33" t="s">
        <v>19</v>
      </c>
      <c r="C11" s="22" t="s">
        <v>20</v>
      </c>
      <c r="D11" s="39">
        <f>_xlfn.XLOOKUP($B11,'(1) Majoriti'!$B$4:$B$39,'(1) Majoriti'!$G$4:$G$39)</f>
        <v>4769</v>
      </c>
      <c r="E11" s="39">
        <f>_xlfn.XLOOKUP($B11,'(3) SKT 51%'!$B$5:$B$40,'(3) SKT 51%'!$F$5:$F$40)</f>
        <v>5736</v>
      </c>
      <c r="F11" s="39">
        <f t="shared" si="0"/>
        <v>-967</v>
      </c>
      <c r="G11" s="36">
        <f t="shared" si="1"/>
        <v>15</v>
      </c>
    </row>
    <row r="12" spans="2:7" x14ac:dyDescent="0.35">
      <c r="B12" s="33" t="s">
        <v>21</v>
      </c>
      <c r="C12" s="22" t="s">
        <v>22</v>
      </c>
      <c r="D12" s="39">
        <f>_xlfn.XLOOKUP($B12,'(1) Majoriti'!$B$4:$B$39,'(1) Majoriti'!$G$4:$G$39)</f>
        <v>3531</v>
      </c>
      <c r="E12" s="39">
        <f>_xlfn.XLOOKUP($B12,'(3) SKT 51%'!$B$5:$B$40,'(3) SKT 51%'!$F$5:$F$40)</f>
        <v>9000</v>
      </c>
      <c r="F12" s="39">
        <f t="shared" si="0"/>
        <v>-5469</v>
      </c>
      <c r="G12" s="36">
        <f t="shared" si="1"/>
        <v>30</v>
      </c>
    </row>
    <row r="13" spans="2:7" x14ac:dyDescent="0.35">
      <c r="B13" s="34" t="s">
        <v>23</v>
      </c>
      <c r="C13" s="26" t="s">
        <v>24</v>
      </c>
      <c r="D13" s="40">
        <f>_xlfn.XLOOKUP($B13,'(1) Majoriti'!$B$4:$B$39,'(1) Majoriti'!$G$4:$G$39)</f>
        <v>9355</v>
      </c>
      <c r="E13" s="40">
        <f>_xlfn.XLOOKUP($B13,'(3) SKT 51%'!$B$5:$B$40,'(3) SKT 51%'!$F$5:$F$40)</f>
        <v>9943</v>
      </c>
      <c r="F13" s="40">
        <f t="shared" si="0"/>
        <v>-588</v>
      </c>
      <c r="G13" s="36">
        <f t="shared" si="1"/>
        <v>11</v>
      </c>
    </row>
    <row r="14" spans="2:7" x14ac:dyDescent="0.35">
      <c r="B14" s="34" t="s">
        <v>25</v>
      </c>
      <c r="C14" s="26" t="s">
        <v>26</v>
      </c>
      <c r="D14" s="40">
        <f>_xlfn.XLOOKUP($B14,'(1) Majoriti'!$B$4:$B$39,'(1) Majoriti'!$G$4:$G$39)</f>
        <v>8244</v>
      </c>
      <c r="E14" s="40">
        <f>_xlfn.XLOOKUP($B14,'(3) SKT 51%'!$B$5:$B$40,'(3) SKT 51%'!$F$5:$F$40)</f>
        <v>15775</v>
      </c>
      <c r="F14" s="40">
        <f t="shared" si="0"/>
        <v>-7531</v>
      </c>
      <c r="G14" s="36">
        <f t="shared" si="1"/>
        <v>34</v>
      </c>
    </row>
    <row r="15" spans="2:7" x14ac:dyDescent="0.35">
      <c r="B15" s="34" t="s">
        <v>27</v>
      </c>
      <c r="C15" s="26" t="s">
        <v>28</v>
      </c>
      <c r="D15" s="40">
        <f>_xlfn.XLOOKUP($B15,'(1) Majoriti'!$B$4:$B$39,'(1) Majoriti'!$G$4:$G$39)</f>
        <v>853</v>
      </c>
      <c r="E15" s="40">
        <f>_xlfn.XLOOKUP($B15,'(3) SKT 51%'!$B$5:$B$40,'(3) SKT 51%'!$F$5:$F$40)</f>
        <v>8025</v>
      </c>
      <c r="F15" s="40">
        <f t="shared" si="0"/>
        <v>-7172</v>
      </c>
      <c r="G15" s="36">
        <f t="shared" si="1"/>
        <v>33</v>
      </c>
    </row>
    <row r="16" spans="2:7" x14ac:dyDescent="0.35">
      <c r="B16" s="33" t="s">
        <v>29</v>
      </c>
      <c r="C16" s="22" t="s">
        <v>30</v>
      </c>
      <c r="D16" s="39">
        <f>_xlfn.XLOOKUP($B16,'(1) Majoriti'!$B$4:$B$39,'(1) Majoriti'!$G$4:$G$39)</f>
        <v>2642</v>
      </c>
      <c r="E16" s="39">
        <f>_xlfn.XLOOKUP($B16,'(3) SKT 51%'!$B$5:$B$40,'(3) SKT 51%'!$F$5:$F$40)</f>
        <v>4500</v>
      </c>
      <c r="F16" s="39">
        <f t="shared" si="0"/>
        <v>-1858</v>
      </c>
      <c r="G16" s="36">
        <f t="shared" si="1"/>
        <v>22</v>
      </c>
    </row>
    <row r="17" spans="2:7" x14ac:dyDescent="0.35">
      <c r="B17" s="33" t="s">
        <v>31</v>
      </c>
      <c r="C17" s="22" t="s">
        <v>32</v>
      </c>
      <c r="D17" s="39">
        <f>_xlfn.XLOOKUP($B17,'(1) Majoriti'!$B$4:$B$39,'(1) Majoriti'!$G$4:$G$39)</f>
        <v>10068</v>
      </c>
      <c r="E17" s="39">
        <f>_xlfn.XLOOKUP($B17,'(3) SKT 51%'!$B$5:$B$40,'(3) SKT 51%'!$F$5:$F$40)</f>
        <v>11751</v>
      </c>
      <c r="F17" s="39">
        <f t="shared" si="0"/>
        <v>-1683</v>
      </c>
      <c r="G17" s="36">
        <f t="shared" si="1"/>
        <v>21</v>
      </c>
    </row>
    <row r="18" spans="2:7" x14ac:dyDescent="0.35">
      <c r="B18" s="34" t="s">
        <v>33</v>
      </c>
      <c r="C18" s="26" t="s">
        <v>34</v>
      </c>
      <c r="D18" s="40">
        <f>_xlfn.XLOOKUP($B18,'(1) Majoriti'!$B$4:$B$39,'(1) Majoriti'!$G$4:$G$39)</f>
        <v>5725</v>
      </c>
      <c r="E18" s="40">
        <f>_xlfn.XLOOKUP($B18,'(3) SKT 51%'!$B$5:$B$40,'(3) SKT 51%'!$F$5:$F$40)</f>
        <v>7400</v>
      </c>
      <c r="F18" s="40">
        <f t="shared" si="0"/>
        <v>-1675</v>
      </c>
      <c r="G18" s="36">
        <f t="shared" si="1"/>
        <v>20</v>
      </c>
    </row>
    <row r="19" spans="2:7" x14ac:dyDescent="0.35">
      <c r="B19" s="34" t="s">
        <v>35</v>
      </c>
      <c r="C19" s="26" t="s">
        <v>36</v>
      </c>
      <c r="D19" s="40">
        <f>_xlfn.XLOOKUP($B19,'(1) Majoriti'!$B$4:$B$39,'(1) Majoriti'!$G$4:$G$39)</f>
        <v>4471</v>
      </c>
      <c r="E19" s="40">
        <f>_xlfn.XLOOKUP($B19,'(3) SKT 51%'!$B$5:$B$40,'(3) SKT 51%'!$F$5:$F$40)</f>
        <v>4740</v>
      </c>
      <c r="F19" s="40">
        <f t="shared" si="0"/>
        <v>-269</v>
      </c>
      <c r="G19" s="36">
        <f t="shared" si="1"/>
        <v>7</v>
      </c>
    </row>
    <row r="20" spans="2:7" x14ac:dyDescent="0.35">
      <c r="B20" s="33" t="s">
        <v>37</v>
      </c>
      <c r="C20" s="22" t="s">
        <v>38</v>
      </c>
      <c r="D20" s="39">
        <f>_xlfn.XLOOKUP($B20,'(1) Majoriti'!$B$4:$B$39,'(1) Majoriti'!$G$4:$G$39)</f>
        <v>3341</v>
      </c>
      <c r="E20" s="39">
        <f>_xlfn.XLOOKUP($B20,'(3) SKT 51%'!$B$5:$B$40,'(3) SKT 51%'!$F$5:$F$40)</f>
        <v>3503</v>
      </c>
      <c r="F20" s="39">
        <f t="shared" si="0"/>
        <v>-162</v>
      </c>
      <c r="G20" s="36">
        <f t="shared" si="1"/>
        <v>6</v>
      </c>
    </row>
    <row r="21" spans="2:7" x14ac:dyDescent="0.35">
      <c r="B21" s="33" t="s">
        <v>39</v>
      </c>
      <c r="C21" s="22" t="s">
        <v>40</v>
      </c>
      <c r="D21" s="39">
        <f>_xlfn.XLOOKUP($B21,'(1) Majoriti'!$B$4:$B$39,'(1) Majoriti'!$G$4:$G$39)</f>
        <v>3062</v>
      </c>
      <c r="E21" s="39">
        <f>_xlfn.XLOOKUP($B21,'(3) SKT 51%'!$B$5:$B$40,'(3) SKT 51%'!$F$5:$F$40)</f>
        <v>3438</v>
      </c>
      <c r="F21" s="39">
        <f t="shared" si="0"/>
        <v>-376</v>
      </c>
      <c r="G21" s="36">
        <f t="shared" si="1"/>
        <v>9</v>
      </c>
    </row>
    <row r="22" spans="2:7" x14ac:dyDescent="0.35">
      <c r="B22" s="34" t="s">
        <v>41</v>
      </c>
      <c r="C22" s="26" t="s">
        <v>42</v>
      </c>
      <c r="D22" s="40">
        <f>_xlfn.XLOOKUP($B22,'(1) Majoriti'!$B$4:$B$39,'(1) Majoriti'!$G$4:$G$39)</f>
        <v>5143</v>
      </c>
      <c r="E22" s="40">
        <f>_xlfn.XLOOKUP($B22,'(3) SKT 51%'!$B$5:$B$40,'(3) SKT 51%'!$F$5:$F$40)</f>
        <v>6230</v>
      </c>
      <c r="F22" s="40">
        <f t="shared" si="0"/>
        <v>-1087</v>
      </c>
      <c r="G22" s="36">
        <f t="shared" si="1"/>
        <v>16</v>
      </c>
    </row>
    <row r="23" spans="2:7" x14ac:dyDescent="0.35">
      <c r="B23" s="34" t="s">
        <v>43</v>
      </c>
      <c r="C23" s="26" t="s">
        <v>44</v>
      </c>
      <c r="D23" s="40">
        <f>_xlfn.XLOOKUP($B23,'(1) Majoriti'!$B$4:$B$39,'(1) Majoriti'!$G$4:$G$39)</f>
        <v>3111</v>
      </c>
      <c r="E23" s="40">
        <f>_xlfn.XLOOKUP($B23,'(3) SKT 51%'!$B$5:$B$40,'(3) SKT 51%'!$F$5:$F$40)</f>
        <v>4286</v>
      </c>
      <c r="F23" s="40">
        <f t="shared" si="0"/>
        <v>-1175</v>
      </c>
      <c r="G23" s="36">
        <f t="shared" si="1"/>
        <v>17</v>
      </c>
    </row>
    <row r="24" spans="2:7" x14ac:dyDescent="0.35">
      <c r="B24" s="34" t="s">
        <v>45</v>
      </c>
      <c r="C24" s="26" t="s">
        <v>46</v>
      </c>
      <c r="D24" s="40">
        <f>_xlfn.XLOOKUP($B24,'(1) Majoriti'!$B$4:$B$39,'(1) Majoriti'!$G$4:$G$39)</f>
        <v>11661</v>
      </c>
      <c r="E24" s="40">
        <f>_xlfn.XLOOKUP($B24,'(3) SKT 51%'!$B$5:$B$40,'(3) SKT 51%'!$F$5:$F$40)</f>
        <v>11297</v>
      </c>
      <c r="F24" s="40">
        <f t="shared" si="0"/>
        <v>364</v>
      </c>
      <c r="G24" s="36">
        <f t="shared" si="1"/>
        <v>4</v>
      </c>
    </row>
    <row r="25" spans="2:7" x14ac:dyDescent="0.35">
      <c r="B25" s="34" t="s">
        <v>47</v>
      </c>
      <c r="C25" s="26" t="s">
        <v>48</v>
      </c>
      <c r="D25" s="40">
        <f>_xlfn.XLOOKUP($B25,'(1) Majoriti'!$B$4:$B$39,'(1) Majoriti'!$G$4:$G$39)</f>
        <v>4942</v>
      </c>
      <c r="E25" s="40">
        <f>_xlfn.XLOOKUP($B25,'(3) SKT 51%'!$B$5:$B$40,'(3) SKT 51%'!$F$5:$F$40)</f>
        <v>17079</v>
      </c>
      <c r="F25" s="40">
        <f t="shared" si="0"/>
        <v>-12137</v>
      </c>
      <c r="G25" s="36">
        <f t="shared" si="1"/>
        <v>36</v>
      </c>
    </row>
    <row r="26" spans="2:7" x14ac:dyDescent="0.35">
      <c r="B26" s="34" t="s">
        <v>49</v>
      </c>
      <c r="C26" s="26" t="s">
        <v>50</v>
      </c>
      <c r="D26" s="40">
        <f>_xlfn.XLOOKUP($B26,'(1) Majoriti'!$B$4:$B$39,'(1) Majoriti'!$G$4:$G$39)</f>
        <v>3436</v>
      </c>
      <c r="E26" s="40">
        <f>_xlfn.XLOOKUP($B26,'(3) SKT 51%'!$B$5:$B$40,'(3) SKT 51%'!$F$5:$F$40)</f>
        <v>6800</v>
      </c>
      <c r="F26" s="40">
        <f t="shared" si="0"/>
        <v>-3364</v>
      </c>
      <c r="G26" s="36">
        <f t="shared" si="1"/>
        <v>26</v>
      </c>
    </row>
    <row r="27" spans="2:7" x14ac:dyDescent="0.35">
      <c r="B27" s="33" t="s">
        <v>51</v>
      </c>
      <c r="C27" s="22" t="s">
        <v>52</v>
      </c>
      <c r="D27" s="39">
        <f>_xlfn.XLOOKUP($B27,'(1) Majoriti'!$B$4:$B$39,'(1) Majoriti'!$G$4:$G$39)</f>
        <v>2099</v>
      </c>
      <c r="E27" s="39">
        <f>_xlfn.XLOOKUP($B27,'(3) SKT 51%'!$B$5:$B$40,'(3) SKT 51%'!$F$5:$F$40)</f>
        <v>10514</v>
      </c>
      <c r="F27" s="39">
        <f t="shared" si="0"/>
        <v>-8415</v>
      </c>
      <c r="G27" s="36">
        <f t="shared" si="1"/>
        <v>35</v>
      </c>
    </row>
    <row r="28" spans="2:7" x14ac:dyDescent="0.35">
      <c r="B28" s="33" t="s">
        <v>53</v>
      </c>
      <c r="C28" s="22" t="s">
        <v>54</v>
      </c>
      <c r="D28" s="39">
        <f>_xlfn.XLOOKUP($B28,'(1) Majoriti'!$B$4:$B$39,'(1) Majoriti'!$G$4:$G$39)</f>
        <v>4377</v>
      </c>
      <c r="E28" s="39">
        <f>_xlfn.XLOOKUP($B28,'(3) SKT 51%'!$B$5:$B$40,'(3) SKT 51%'!$F$5:$F$40)</f>
        <v>11409</v>
      </c>
      <c r="F28" s="39">
        <f t="shared" si="0"/>
        <v>-7032</v>
      </c>
      <c r="G28" s="36">
        <f t="shared" si="1"/>
        <v>32</v>
      </c>
    </row>
    <row r="29" spans="2:7" x14ac:dyDescent="0.35">
      <c r="B29" s="33" t="s">
        <v>55</v>
      </c>
      <c r="C29" s="22" t="s">
        <v>56</v>
      </c>
      <c r="D29" s="39">
        <f>_xlfn.XLOOKUP($B29,'(1) Majoriti'!$B$4:$B$39,'(1) Majoriti'!$G$4:$G$39)</f>
        <v>23840</v>
      </c>
      <c r="E29" s="39">
        <f>_xlfn.XLOOKUP($B29,'(3) SKT 51%'!$B$5:$B$40,'(3) SKT 51%'!$F$5:$F$40)</f>
        <v>22397</v>
      </c>
      <c r="F29" s="39">
        <f t="shared" si="0"/>
        <v>1443</v>
      </c>
      <c r="G29" s="36">
        <f t="shared" si="1"/>
        <v>2</v>
      </c>
    </row>
    <row r="30" spans="2:7" x14ac:dyDescent="0.35">
      <c r="B30" s="33" t="s">
        <v>57</v>
      </c>
      <c r="C30" s="22" t="s">
        <v>58</v>
      </c>
      <c r="D30" s="39">
        <f>_xlfn.XLOOKUP($B30,'(1) Majoriti'!$B$4:$B$39,'(1) Majoriti'!$G$4:$G$39)</f>
        <v>6926</v>
      </c>
      <c r="E30" s="39">
        <f>_xlfn.XLOOKUP($B30,'(3) SKT 51%'!$B$5:$B$40,'(3) SKT 51%'!$F$5:$F$40)</f>
        <v>9169</v>
      </c>
      <c r="F30" s="39">
        <f t="shared" si="0"/>
        <v>-2243</v>
      </c>
      <c r="G30" s="36">
        <f t="shared" si="1"/>
        <v>24</v>
      </c>
    </row>
    <row r="31" spans="2:7" x14ac:dyDescent="0.35">
      <c r="B31" s="33" t="s">
        <v>59</v>
      </c>
      <c r="C31" s="22" t="s">
        <v>60</v>
      </c>
      <c r="D31" s="39">
        <f>_xlfn.XLOOKUP($B31,'(1) Majoriti'!$B$4:$B$39,'(1) Majoriti'!$G$4:$G$39)</f>
        <v>6677</v>
      </c>
      <c r="E31" s="39">
        <f>_xlfn.XLOOKUP($B31,'(3) SKT 51%'!$B$5:$B$40,'(3) SKT 51%'!$F$5:$F$40)</f>
        <v>12012</v>
      </c>
      <c r="F31" s="39">
        <f t="shared" si="0"/>
        <v>-5335</v>
      </c>
      <c r="G31" s="36">
        <f t="shared" si="1"/>
        <v>29</v>
      </c>
    </row>
    <row r="32" spans="2:7" x14ac:dyDescent="0.35">
      <c r="B32" s="33" t="s">
        <v>61</v>
      </c>
      <c r="C32" s="22" t="s">
        <v>62</v>
      </c>
      <c r="D32" s="39">
        <f>_xlfn.XLOOKUP($B32,'(1) Majoriti'!$B$4:$B$39,'(1) Majoriti'!$G$4:$G$39)</f>
        <v>5734</v>
      </c>
      <c r="E32" s="39">
        <f>_xlfn.XLOOKUP($B32,'(3) SKT 51%'!$B$5:$B$40,'(3) SKT 51%'!$F$5:$F$40)</f>
        <v>5802</v>
      </c>
      <c r="F32" s="39">
        <f t="shared" si="0"/>
        <v>-68</v>
      </c>
      <c r="G32" s="36">
        <f t="shared" si="1"/>
        <v>5</v>
      </c>
    </row>
    <row r="33" spans="2:7" x14ac:dyDescent="0.35">
      <c r="B33" s="33" t="s">
        <v>63</v>
      </c>
      <c r="C33" s="22" t="s">
        <v>64</v>
      </c>
      <c r="D33" s="39">
        <f>_xlfn.XLOOKUP($B33,'(1) Majoriti'!$B$4:$B$39,'(1) Majoriti'!$G$4:$G$39)</f>
        <v>1874</v>
      </c>
      <c r="E33" s="39">
        <f>_xlfn.XLOOKUP($B33,'(3) SKT 51%'!$B$5:$B$40,'(3) SKT 51%'!$F$5:$F$40)</f>
        <v>5251</v>
      </c>
      <c r="F33" s="39">
        <f t="shared" si="0"/>
        <v>-3377</v>
      </c>
      <c r="G33" s="36">
        <f t="shared" si="1"/>
        <v>27</v>
      </c>
    </row>
    <row r="34" spans="2:7" x14ac:dyDescent="0.35">
      <c r="B34" s="34" t="s">
        <v>65</v>
      </c>
      <c r="C34" s="26" t="s">
        <v>66</v>
      </c>
      <c r="D34" s="40">
        <f>_xlfn.XLOOKUP($B34,'(1) Majoriti'!$B$4:$B$39,'(1) Majoriti'!$G$4:$G$39)</f>
        <v>3561</v>
      </c>
      <c r="E34" s="40">
        <f>_xlfn.XLOOKUP($B34,'(3) SKT 51%'!$B$5:$B$40,'(3) SKT 51%'!$F$5:$F$40)</f>
        <v>9714</v>
      </c>
      <c r="F34" s="40">
        <f t="shared" si="0"/>
        <v>-6153</v>
      </c>
      <c r="G34" s="36">
        <f t="shared" si="1"/>
        <v>31</v>
      </c>
    </row>
    <row r="35" spans="2:7" x14ac:dyDescent="0.35">
      <c r="B35" s="34" t="s">
        <v>67</v>
      </c>
      <c r="C35" s="26" t="s">
        <v>68</v>
      </c>
      <c r="D35" s="40">
        <f>_xlfn.XLOOKUP($B35,'(1) Majoriti'!$B$4:$B$39,'(1) Majoriti'!$G$4:$G$39)</f>
        <v>10921</v>
      </c>
      <c r="E35" s="40">
        <f>_xlfn.XLOOKUP($B35,'(3) SKT 51%'!$B$5:$B$40,'(3) SKT 51%'!$F$5:$F$40)</f>
        <v>9685</v>
      </c>
      <c r="F35" s="40">
        <f t="shared" si="0"/>
        <v>1236</v>
      </c>
      <c r="G35" s="36">
        <f t="shared" si="1"/>
        <v>3</v>
      </c>
    </row>
    <row r="36" spans="2:7" x14ac:dyDescent="0.35">
      <c r="B36" s="33" t="s">
        <v>69</v>
      </c>
      <c r="C36" s="22" t="s">
        <v>70</v>
      </c>
      <c r="D36" s="39">
        <f>_xlfn.XLOOKUP($B36,'(1) Majoriti'!$B$4:$B$39,'(1) Majoriti'!$G$4:$G$39)</f>
        <v>6371</v>
      </c>
      <c r="E36" s="39">
        <f>_xlfn.XLOOKUP($B36,'(3) SKT 51%'!$B$5:$B$40,'(3) SKT 51%'!$F$5:$F$40)</f>
        <v>7202</v>
      </c>
      <c r="F36" s="39">
        <f t="shared" si="0"/>
        <v>-831</v>
      </c>
      <c r="G36" s="36">
        <f t="shared" si="1"/>
        <v>14</v>
      </c>
    </row>
    <row r="37" spans="2:7" x14ac:dyDescent="0.35">
      <c r="B37" s="34" t="s">
        <v>71</v>
      </c>
      <c r="C37" s="26" t="s">
        <v>72</v>
      </c>
      <c r="D37" s="40">
        <f>_xlfn.XLOOKUP($B37,'(1) Majoriti'!$B$4:$B$39,'(1) Majoriti'!$G$4:$G$39)</f>
        <v>4243</v>
      </c>
      <c r="E37" s="40">
        <f>_xlfn.XLOOKUP($B37,'(3) SKT 51%'!$B$5:$B$40,'(3) SKT 51%'!$F$5:$F$40)</f>
        <v>6792</v>
      </c>
      <c r="F37" s="40">
        <f t="shared" si="0"/>
        <v>-2549</v>
      </c>
      <c r="G37" s="36">
        <f t="shared" si="1"/>
        <v>25</v>
      </c>
    </row>
    <row r="38" spans="2:7" x14ac:dyDescent="0.35">
      <c r="B38" s="33" t="s">
        <v>73</v>
      </c>
      <c r="C38" s="22" t="s">
        <v>74</v>
      </c>
      <c r="D38" s="39">
        <f>_xlfn.XLOOKUP($B38,'(1) Majoriti'!$B$4:$B$39,'(1) Majoriti'!$G$4:$G$39)</f>
        <v>11653</v>
      </c>
      <c r="E38" s="39">
        <f>_xlfn.XLOOKUP($B38,'(3) SKT 51%'!$B$5:$B$40,'(3) SKT 51%'!$F$5:$F$40)</f>
        <v>10139</v>
      </c>
      <c r="F38" s="39">
        <f t="shared" si="0"/>
        <v>1514</v>
      </c>
      <c r="G38" s="36">
        <f t="shared" si="1"/>
        <v>1</v>
      </c>
    </row>
    <row r="39" spans="2:7" x14ac:dyDescent="0.35">
      <c r="B39" s="34" t="s">
        <v>75</v>
      </c>
      <c r="C39" s="26" t="s">
        <v>76</v>
      </c>
      <c r="D39" s="40">
        <f>_xlfn.XLOOKUP($B39,'(1) Majoriti'!$B$4:$B$39,'(1) Majoriti'!$G$4:$G$39)</f>
        <v>6471</v>
      </c>
      <c r="E39" s="40">
        <f>_xlfn.XLOOKUP($B39,'(3) SKT 51%'!$B$5:$B$40,'(3) SKT 51%'!$F$5:$F$40)</f>
        <v>8628</v>
      </c>
      <c r="F39" s="40">
        <f t="shared" si="0"/>
        <v>-2157</v>
      </c>
      <c r="G39" s="36">
        <f t="shared" si="1"/>
        <v>23</v>
      </c>
    </row>
    <row r="40" spans="2:7" x14ac:dyDescent="0.35">
      <c r="B40" s="35" t="s">
        <v>77</v>
      </c>
      <c r="C40" s="29" t="s">
        <v>78</v>
      </c>
      <c r="D40" s="41">
        <f>_xlfn.XLOOKUP($B40,'(1) Majoriti'!$B$4:$B$39,'(1) Majoriti'!$G$4:$G$39)</f>
        <v>5557</v>
      </c>
      <c r="E40" s="41">
        <f>_xlfn.XLOOKUP($B40,'(3) SKT 51%'!$B$5:$B$40,'(3) SKT 51%'!$F$5:$F$40)</f>
        <v>9651</v>
      </c>
      <c r="F40" s="41">
        <f t="shared" si="0"/>
        <v>-4094</v>
      </c>
      <c r="G40" s="36">
        <f t="shared" si="1"/>
        <v>28</v>
      </c>
    </row>
  </sheetData>
  <sortState xmlns:xlrd2="http://schemas.microsoft.com/office/spreadsheetml/2017/richdata2" ref="B5:G40">
    <sortCondition ref="B5:B40"/>
  </sortState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B984-3EC6-463F-8478-8F2F3DCF4F84}">
  <dimension ref="B2:BL79"/>
  <sheetViews>
    <sheetView workbookViewId="0">
      <selection activeCell="B4" sqref="B4:P40"/>
    </sheetView>
  </sheetViews>
  <sheetFormatPr defaultRowHeight="14.5" x14ac:dyDescent="0.35"/>
  <cols>
    <col min="2" max="2" width="7.6328125" customWidth="1"/>
    <col min="3" max="3" width="16.7265625" customWidth="1"/>
    <col min="4" max="4" width="14.54296875" customWidth="1"/>
    <col min="5" max="13" width="10.54296875" customWidth="1"/>
    <col min="14" max="14" width="14.1796875" customWidth="1"/>
    <col min="15" max="15" width="12" customWidth="1"/>
    <col min="16" max="16" width="11.6328125" customWidth="1"/>
  </cols>
  <sheetData>
    <row r="2" spans="2:64" ht="28" customHeight="1" x14ac:dyDescent="0.35">
      <c r="B2" s="168" t="s">
        <v>168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</row>
    <row r="4" spans="2:64" ht="40" customHeight="1" x14ac:dyDescent="0.35">
      <c r="B4" s="52" t="s">
        <v>0</v>
      </c>
      <c r="C4" s="50" t="s">
        <v>1</v>
      </c>
      <c r="D4" s="50" t="s">
        <v>140</v>
      </c>
      <c r="E4" s="50" t="s">
        <v>145</v>
      </c>
      <c r="F4" s="50" t="s">
        <v>146</v>
      </c>
      <c r="G4" s="50" t="s">
        <v>147</v>
      </c>
      <c r="H4" s="50" t="s">
        <v>148</v>
      </c>
      <c r="I4" s="50" t="s">
        <v>149</v>
      </c>
      <c r="J4" s="50" t="s">
        <v>150</v>
      </c>
      <c r="K4" s="50" t="s">
        <v>151</v>
      </c>
      <c r="L4" s="50" t="s">
        <v>152</v>
      </c>
      <c r="M4" s="50" t="s">
        <v>153</v>
      </c>
      <c r="N4" s="50" t="s">
        <v>156</v>
      </c>
      <c r="O4" s="50" t="s">
        <v>157</v>
      </c>
      <c r="P4" s="53" t="s">
        <v>158</v>
      </c>
      <c r="Q4" s="14"/>
      <c r="R4" s="3" t="s">
        <v>80</v>
      </c>
      <c r="S4" s="3" t="s">
        <v>81</v>
      </c>
      <c r="T4" s="4" t="s">
        <v>82</v>
      </c>
      <c r="U4" s="2"/>
      <c r="V4" s="2"/>
      <c r="X4" s="3" t="s">
        <v>80</v>
      </c>
      <c r="Y4" s="3" t="s">
        <v>81</v>
      </c>
      <c r="Z4" s="4" t="s">
        <v>90</v>
      </c>
      <c r="AA4" s="2"/>
      <c r="AB4" s="2"/>
      <c r="AD4" s="3" t="s">
        <v>80</v>
      </c>
      <c r="AE4" s="3" t="s">
        <v>81</v>
      </c>
      <c r="AF4" s="4" t="s">
        <v>95</v>
      </c>
      <c r="AG4" s="2"/>
      <c r="AH4" s="2"/>
      <c r="AJ4" s="3" t="s">
        <v>80</v>
      </c>
      <c r="AK4" s="3" t="s">
        <v>81</v>
      </c>
      <c r="AL4" s="4" t="s">
        <v>102</v>
      </c>
      <c r="AM4" s="2"/>
      <c r="AN4" s="2"/>
      <c r="AP4" s="3" t="s">
        <v>80</v>
      </c>
      <c r="AQ4" s="3" t="s">
        <v>81</v>
      </c>
      <c r="AR4" s="4" t="s">
        <v>108</v>
      </c>
      <c r="AS4" s="2"/>
      <c r="AT4" s="2"/>
      <c r="AV4" s="3" t="s">
        <v>80</v>
      </c>
      <c r="AW4" s="3" t="s">
        <v>81</v>
      </c>
      <c r="AX4" s="4" t="s">
        <v>114</v>
      </c>
      <c r="AY4" s="2"/>
      <c r="AZ4" s="2"/>
      <c r="BB4" s="3" t="s">
        <v>80</v>
      </c>
      <c r="BC4" s="3" t="s">
        <v>81</v>
      </c>
      <c r="BD4" s="4" t="s">
        <v>119</v>
      </c>
      <c r="BE4" s="2"/>
      <c r="BF4" s="2"/>
      <c r="BH4" s="3" t="s">
        <v>80</v>
      </c>
      <c r="BI4" s="3" t="s">
        <v>81</v>
      </c>
      <c r="BJ4" s="4" t="s">
        <v>125</v>
      </c>
      <c r="BK4" s="2"/>
      <c r="BL4" s="2"/>
    </row>
    <row r="5" spans="2:64" x14ac:dyDescent="0.35">
      <c r="B5" s="34" t="s">
        <v>7</v>
      </c>
      <c r="C5" s="26" t="s">
        <v>8</v>
      </c>
      <c r="D5" s="58">
        <f>_xlfn.XLOOKUP($B5,'(3) SKT 51%'!$B$5:$B$40,'(3) SKT 51%'!$D$5:$D$40)</f>
        <v>14427</v>
      </c>
      <c r="E5" s="40">
        <v>1846</v>
      </c>
      <c r="F5" s="40">
        <v>142</v>
      </c>
      <c r="G5" s="40">
        <v>779</v>
      </c>
      <c r="H5" s="40">
        <v>2371</v>
      </c>
      <c r="I5" s="40">
        <v>0</v>
      </c>
      <c r="J5" s="40">
        <v>1</v>
      </c>
      <c r="K5" s="40">
        <v>0</v>
      </c>
      <c r="L5" s="40">
        <v>2</v>
      </c>
      <c r="M5" s="40">
        <v>9286</v>
      </c>
      <c r="N5" s="40">
        <f t="shared" ref="N5:N40" si="0">F5+G5+L5</f>
        <v>923</v>
      </c>
      <c r="O5" s="49">
        <f t="shared" ref="O5:O40" si="1">N5/D5</f>
        <v>6.3977264850627297E-2</v>
      </c>
      <c r="P5" s="55">
        <f t="shared" ref="P5:P40" si="2">RANK(O5,$O$5:$O$40)</f>
        <v>8</v>
      </c>
      <c r="R5" s="172"/>
      <c r="S5" s="172"/>
      <c r="T5" s="172"/>
      <c r="U5" s="172"/>
      <c r="V5" s="172"/>
      <c r="X5" s="172"/>
      <c r="Y5" s="172"/>
      <c r="Z5" s="172"/>
      <c r="AA5" s="172"/>
      <c r="AB5" s="172"/>
      <c r="AD5" s="172"/>
      <c r="AE5" s="172"/>
      <c r="AF5" s="172"/>
      <c r="AG5" s="172"/>
      <c r="AH5" s="172"/>
      <c r="AJ5" s="172"/>
      <c r="AK5" s="172"/>
      <c r="AL5" s="172"/>
      <c r="AM5" s="172"/>
      <c r="AN5" s="172"/>
      <c r="AP5" s="172"/>
      <c r="AQ5" s="172"/>
      <c r="AR5" s="172"/>
      <c r="AS5" s="172"/>
      <c r="AT5" s="172"/>
      <c r="AV5" s="172"/>
      <c r="AW5" s="172"/>
      <c r="AX5" s="172"/>
      <c r="AY5" s="172"/>
      <c r="AZ5" s="172"/>
      <c r="BB5" s="172"/>
      <c r="BC5" s="172"/>
      <c r="BD5" s="172"/>
      <c r="BE5" s="172"/>
      <c r="BF5" s="172"/>
      <c r="BH5" s="172"/>
      <c r="BI5" s="172"/>
      <c r="BJ5" s="172"/>
      <c r="BK5" s="172"/>
      <c r="BL5" s="172"/>
    </row>
    <row r="6" spans="2:64" ht="20" x14ac:dyDescent="0.35">
      <c r="B6" s="33" t="s">
        <v>9</v>
      </c>
      <c r="C6" s="22" t="s">
        <v>10</v>
      </c>
      <c r="D6" s="57">
        <f>_xlfn.XLOOKUP($B6,'(3) SKT 51%'!$B$5:$B$40,'(3) SKT 51%'!$D$5:$D$40)</f>
        <v>12880</v>
      </c>
      <c r="E6" s="39">
        <v>2361</v>
      </c>
      <c r="F6" s="39">
        <v>278</v>
      </c>
      <c r="G6" s="39">
        <v>1143</v>
      </c>
      <c r="H6" s="39">
        <v>2826</v>
      </c>
      <c r="I6" s="39">
        <v>0</v>
      </c>
      <c r="J6" s="39">
        <v>0</v>
      </c>
      <c r="K6" s="39">
        <v>6</v>
      </c>
      <c r="L6" s="39">
        <v>0</v>
      </c>
      <c r="M6" s="39">
        <v>6266</v>
      </c>
      <c r="N6" s="39">
        <f t="shared" si="0"/>
        <v>1421</v>
      </c>
      <c r="O6" s="48">
        <f t="shared" si="1"/>
        <v>0.11032608695652174</v>
      </c>
      <c r="P6" s="54">
        <f t="shared" si="2"/>
        <v>3</v>
      </c>
      <c r="R6" s="12" t="s">
        <v>83</v>
      </c>
      <c r="S6" s="12" t="s">
        <v>1</v>
      </c>
      <c r="T6" s="12" t="s">
        <v>144</v>
      </c>
      <c r="U6" s="12" t="s">
        <v>84</v>
      </c>
      <c r="V6" s="12" t="s">
        <v>85</v>
      </c>
      <c r="X6" s="12" t="s">
        <v>83</v>
      </c>
      <c r="Y6" s="12" t="s">
        <v>1</v>
      </c>
      <c r="Z6" s="12" t="s">
        <v>144</v>
      </c>
      <c r="AA6" s="12" t="s">
        <v>84</v>
      </c>
      <c r="AB6" s="12" t="s">
        <v>85</v>
      </c>
      <c r="AD6" s="12" t="s">
        <v>83</v>
      </c>
      <c r="AE6" s="12" t="s">
        <v>1</v>
      </c>
      <c r="AF6" s="12" t="s">
        <v>144</v>
      </c>
      <c r="AG6" s="12" t="s">
        <v>84</v>
      </c>
      <c r="AH6" s="12" t="s">
        <v>85</v>
      </c>
      <c r="AJ6" s="12" t="s">
        <v>83</v>
      </c>
      <c r="AK6" s="12" t="s">
        <v>1</v>
      </c>
      <c r="AL6" s="12" t="s">
        <v>144</v>
      </c>
      <c r="AM6" s="12" t="s">
        <v>84</v>
      </c>
      <c r="AN6" s="12" t="s">
        <v>85</v>
      </c>
      <c r="AP6" s="12" t="s">
        <v>83</v>
      </c>
      <c r="AQ6" s="12" t="s">
        <v>1</v>
      </c>
      <c r="AR6" s="12" t="s">
        <v>144</v>
      </c>
      <c r="AS6" s="12" t="s">
        <v>84</v>
      </c>
      <c r="AT6" s="12" t="s">
        <v>85</v>
      </c>
      <c r="AV6" s="12" t="s">
        <v>83</v>
      </c>
      <c r="AW6" s="12" t="s">
        <v>1</v>
      </c>
      <c r="AX6" s="12" t="s">
        <v>144</v>
      </c>
      <c r="AY6" s="12" t="s">
        <v>84</v>
      </c>
      <c r="AZ6" s="12" t="s">
        <v>85</v>
      </c>
      <c r="BB6" s="12" t="s">
        <v>83</v>
      </c>
      <c r="BC6" s="12" t="s">
        <v>1</v>
      </c>
      <c r="BD6" s="12" t="s">
        <v>144</v>
      </c>
      <c r="BE6" s="12" t="s">
        <v>84</v>
      </c>
      <c r="BF6" s="12" t="s">
        <v>85</v>
      </c>
      <c r="BH6" s="12" t="s">
        <v>83</v>
      </c>
      <c r="BI6" s="12" t="s">
        <v>1</v>
      </c>
      <c r="BJ6" s="12" t="s">
        <v>144</v>
      </c>
      <c r="BK6" s="12" t="s">
        <v>84</v>
      </c>
      <c r="BL6" s="12" t="s">
        <v>85</v>
      </c>
    </row>
    <row r="7" spans="2:64" ht="20" x14ac:dyDescent="0.35">
      <c r="B7" s="33" t="s">
        <v>11</v>
      </c>
      <c r="C7" s="22" t="s">
        <v>12</v>
      </c>
      <c r="D7" s="57">
        <f>_xlfn.XLOOKUP($B7,'(3) SKT 51%'!$B$5:$B$40,'(3) SKT 51%'!$D$5:$D$40)</f>
        <v>19711</v>
      </c>
      <c r="E7" s="39">
        <v>3153</v>
      </c>
      <c r="F7" s="39">
        <v>505</v>
      </c>
      <c r="G7" s="39">
        <v>4375</v>
      </c>
      <c r="H7" s="39">
        <v>2393</v>
      </c>
      <c r="I7" s="39">
        <v>2</v>
      </c>
      <c r="J7" s="39">
        <v>1</v>
      </c>
      <c r="K7" s="39">
        <v>1</v>
      </c>
      <c r="L7" s="39">
        <v>0</v>
      </c>
      <c r="M7" s="39">
        <v>9281</v>
      </c>
      <c r="N7" s="39">
        <f t="shared" si="0"/>
        <v>4880</v>
      </c>
      <c r="O7" s="48">
        <f t="shared" si="1"/>
        <v>0.24757749479985794</v>
      </c>
      <c r="P7" s="54">
        <f t="shared" si="2"/>
        <v>1</v>
      </c>
      <c r="R7" s="174">
        <v>1</v>
      </c>
      <c r="S7" s="175" t="s">
        <v>86</v>
      </c>
      <c r="T7" s="14" t="s">
        <v>145</v>
      </c>
      <c r="U7" s="15">
        <v>1846</v>
      </c>
      <c r="V7" s="13">
        <v>12.8</v>
      </c>
      <c r="X7" s="174">
        <v>1</v>
      </c>
      <c r="Y7" s="175" t="s">
        <v>91</v>
      </c>
      <c r="Z7" s="14" t="s">
        <v>145</v>
      </c>
      <c r="AA7" s="15">
        <v>1900</v>
      </c>
      <c r="AB7" s="13">
        <v>6.21</v>
      </c>
      <c r="AD7" s="174">
        <v>1</v>
      </c>
      <c r="AE7" s="175" t="s">
        <v>96</v>
      </c>
      <c r="AF7" s="14" t="s">
        <v>145</v>
      </c>
      <c r="AG7" s="13">
        <v>469</v>
      </c>
      <c r="AH7" s="13">
        <v>1.64</v>
      </c>
      <c r="AJ7" s="174">
        <v>1</v>
      </c>
      <c r="AK7" s="175" t="s">
        <v>103</v>
      </c>
      <c r="AL7" s="14" t="s">
        <v>145</v>
      </c>
      <c r="AM7" s="13">
        <v>31</v>
      </c>
      <c r="AN7" s="13">
        <v>0.23</v>
      </c>
      <c r="AP7" s="174">
        <v>1</v>
      </c>
      <c r="AQ7" s="175" t="s">
        <v>109</v>
      </c>
      <c r="AR7" s="14" t="s">
        <v>145</v>
      </c>
      <c r="AS7" s="15">
        <v>2861</v>
      </c>
      <c r="AT7" s="13">
        <v>8.7799999999999994</v>
      </c>
      <c r="AV7" s="174">
        <v>1</v>
      </c>
      <c r="AW7" s="175" t="s">
        <v>115</v>
      </c>
      <c r="AX7" s="14" t="s">
        <v>145</v>
      </c>
      <c r="AY7" s="13">
        <v>561</v>
      </c>
      <c r="AZ7" s="13">
        <v>0.87</v>
      </c>
      <c r="BB7" s="174">
        <v>1</v>
      </c>
      <c r="BC7" s="175" t="s">
        <v>120</v>
      </c>
      <c r="BD7" s="14" t="s">
        <v>145</v>
      </c>
      <c r="BE7" s="13">
        <v>584</v>
      </c>
      <c r="BF7" s="13">
        <v>3.86</v>
      </c>
      <c r="BH7" s="174">
        <v>1</v>
      </c>
      <c r="BI7" s="175" t="s">
        <v>126</v>
      </c>
      <c r="BJ7" s="14" t="s">
        <v>145</v>
      </c>
      <c r="BK7" s="13">
        <v>43</v>
      </c>
      <c r="BL7" s="13">
        <v>0.15</v>
      </c>
    </row>
    <row r="8" spans="2:64" x14ac:dyDescent="0.35">
      <c r="B8" s="34" t="s">
        <v>13</v>
      </c>
      <c r="C8" s="26" t="s">
        <v>14</v>
      </c>
      <c r="D8" s="58">
        <f>_xlfn.XLOOKUP($B8,'(3) SKT 51%'!$B$5:$B$40,'(3) SKT 51%'!$D$5:$D$40)</f>
        <v>13329</v>
      </c>
      <c r="E8" s="40">
        <v>2494</v>
      </c>
      <c r="F8" s="40">
        <v>24</v>
      </c>
      <c r="G8" s="40">
        <v>2322</v>
      </c>
      <c r="H8" s="40">
        <v>2050</v>
      </c>
      <c r="I8" s="40">
        <v>0</v>
      </c>
      <c r="J8" s="40">
        <v>0</v>
      </c>
      <c r="K8" s="40">
        <v>0</v>
      </c>
      <c r="L8" s="40">
        <v>0</v>
      </c>
      <c r="M8" s="40">
        <v>6439</v>
      </c>
      <c r="N8" s="40">
        <f t="shared" si="0"/>
        <v>2346</v>
      </c>
      <c r="O8" s="49">
        <f t="shared" si="1"/>
        <v>0.17600720234076075</v>
      </c>
      <c r="P8" s="55">
        <f t="shared" si="2"/>
        <v>2</v>
      </c>
      <c r="R8" s="174"/>
      <c r="S8" s="175"/>
      <c r="T8" s="14" t="s">
        <v>146</v>
      </c>
      <c r="U8" s="13">
        <v>142</v>
      </c>
      <c r="V8" s="13">
        <v>0.98</v>
      </c>
      <c r="X8" s="174"/>
      <c r="Y8" s="175"/>
      <c r="Z8" s="14" t="s">
        <v>146</v>
      </c>
      <c r="AA8" s="13">
        <v>678</v>
      </c>
      <c r="AB8" s="13">
        <v>2.2200000000000002</v>
      </c>
      <c r="AD8" s="174"/>
      <c r="AE8" s="175"/>
      <c r="AF8" s="14" t="s">
        <v>146</v>
      </c>
      <c r="AG8" s="13">
        <v>472</v>
      </c>
      <c r="AH8" s="13">
        <v>1.65</v>
      </c>
      <c r="AJ8" s="174"/>
      <c r="AK8" s="175"/>
      <c r="AL8" s="14" t="s">
        <v>146</v>
      </c>
      <c r="AM8" s="13">
        <v>251</v>
      </c>
      <c r="AN8" s="13">
        <v>1.84</v>
      </c>
      <c r="AP8" s="174"/>
      <c r="AQ8" s="175"/>
      <c r="AR8" s="14" t="s">
        <v>146</v>
      </c>
      <c r="AS8" s="13">
        <v>697</v>
      </c>
      <c r="AT8" s="13">
        <v>2.14</v>
      </c>
      <c r="AV8" s="174"/>
      <c r="AW8" s="175"/>
      <c r="AX8" s="14" t="s">
        <v>146</v>
      </c>
      <c r="AY8" s="15">
        <v>1089</v>
      </c>
      <c r="AZ8" s="13">
        <v>1.69</v>
      </c>
      <c r="BB8" s="174"/>
      <c r="BC8" s="175"/>
      <c r="BD8" s="14" t="s">
        <v>146</v>
      </c>
      <c r="BE8" s="13">
        <v>72</v>
      </c>
      <c r="BF8" s="13">
        <v>0.48</v>
      </c>
      <c r="BH8" s="174"/>
      <c r="BI8" s="175"/>
      <c r="BJ8" s="14" t="s">
        <v>146</v>
      </c>
      <c r="BK8" s="13">
        <v>270</v>
      </c>
      <c r="BL8" s="13">
        <v>0.92</v>
      </c>
    </row>
    <row r="9" spans="2:64" ht="30" x14ac:dyDescent="0.35">
      <c r="B9" s="33" t="s">
        <v>15</v>
      </c>
      <c r="C9" s="22" t="s">
        <v>16</v>
      </c>
      <c r="D9" s="57">
        <f>_xlfn.XLOOKUP($B9,'(3) SKT 51%'!$B$5:$B$40,'(3) SKT 51%'!$D$5:$D$40)</f>
        <v>30593</v>
      </c>
      <c r="E9" s="39">
        <v>1900</v>
      </c>
      <c r="F9" s="39">
        <v>678</v>
      </c>
      <c r="G9" s="39">
        <v>2594</v>
      </c>
      <c r="H9" s="39">
        <v>6262</v>
      </c>
      <c r="I9" s="39">
        <v>60</v>
      </c>
      <c r="J9" s="39">
        <v>43</v>
      </c>
      <c r="K9" s="39">
        <v>1</v>
      </c>
      <c r="L9" s="39">
        <v>1</v>
      </c>
      <c r="M9" s="39">
        <v>19054</v>
      </c>
      <c r="N9" s="39">
        <f t="shared" si="0"/>
        <v>3273</v>
      </c>
      <c r="O9" s="48">
        <f t="shared" si="1"/>
        <v>0.10698525806557055</v>
      </c>
      <c r="P9" s="54">
        <f t="shared" si="2"/>
        <v>5</v>
      </c>
      <c r="R9" s="174"/>
      <c r="S9" s="175"/>
      <c r="T9" s="14" t="s">
        <v>147</v>
      </c>
      <c r="U9" s="13">
        <v>779</v>
      </c>
      <c r="V9" s="13">
        <v>5.4</v>
      </c>
      <c r="X9" s="174"/>
      <c r="Y9" s="175"/>
      <c r="Z9" s="14" t="s">
        <v>147</v>
      </c>
      <c r="AA9" s="15">
        <v>2594</v>
      </c>
      <c r="AB9" s="13">
        <v>8.48</v>
      </c>
      <c r="AD9" s="174"/>
      <c r="AE9" s="175"/>
      <c r="AF9" s="14" t="s">
        <v>147</v>
      </c>
      <c r="AG9" s="13">
        <v>536</v>
      </c>
      <c r="AH9" s="13">
        <v>1.87</v>
      </c>
      <c r="AJ9" s="174"/>
      <c r="AK9" s="175"/>
      <c r="AL9" s="14" t="s">
        <v>147</v>
      </c>
      <c r="AM9" s="13">
        <v>79</v>
      </c>
      <c r="AN9" s="13">
        <v>0.57999999999999996</v>
      </c>
      <c r="AP9" s="174"/>
      <c r="AQ9" s="175"/>
      <c r="AR9" s="14" t="s">
        <v>147</v>
      </c>
      <c r="AS9" s="13">
        <v>958</v>
      </c>
      <c r="AT9" s="13">
        <v>2.94</v>
      </c>
      <c r="AV9" s="174"/>
      <c r="AW9" s="175"/>
      <c r="AX9" s="14" t="s">
        <v>147</v>
      </c>
      <c r="AY9" s="15">
        <v>2179</v>
      </c>
      <c r="AZ9" s="13">
        <v>3.37</v>
      </c>
      <c r="BB9" s="174"/>
      <c r="BC9" s="175"/>
      <c r="BD9" s="14" t="s">
        <v>147</v>
      </c>
      <c r="BE9" s="13">
        <v>31</v>
      </c>
      <c r="BF9" s="13">
        <v>0.2</v>
      </c>
      <c r="BH9" s="174"/>
      <c r="BI9" s="175"/>
      <c r="BJ9" s="14" t="s">
        <v>147</v>
      </c>
      <c r="BK9" s="13">
        <v>80</v>
      </c>
      <c r="BL9" s="13">
        <v>0.27</v>
      </c>
    </row>
    <row r="10" spans="2:64" ht="20" x14ac:dyDescent="0.35">
      <c r="B10" s="34" t="s">
        <v>17</v>
      </c>
      <c r="C10" s="26" t="s">
        <v>18</v>
      </c>
      <c r="D10" s="58">
        <f>_xlfn.XLOOKUP($B10,'(3) SKT 51%'!$B$5:$B$40,'(3) SKT 51%'!$D$5:$D$40)</f>
        <v>23548</v>
      </c>
      <c r="E10" s="40">
        <v>2264</v>
      </c>
      <c r="F10" s="40">
        <v>203</v>
      </c>
      <c r="G10" s="40">
        <v>2348</v>
      </c>
      <c r="H10" s="40">
        <v>7086</v>
      </c>
      <c r="I10" s="40">
        <v>0</v>
      </c>
      <c r="J10" s="40">
        <v>0</v>
      </c>
      <c r="K10" s="40">
        <v>0</v>
      </c>
      <c r="L10" s="40">
        <v>0</v>
      </c>
      <c r="M10" s="40">
        <v>11647</v>
      </c>
      <c r="N10" s="40">
        <f t="shared" si="0"/>
        <v>2551</v>
      </c>
      <c r="O10" s="49">
        <f t="shared" si="1"/>
        <v>0.10833191778494988</v>
      </c>
      <c r="P10" s="55">
        <f t="shared" si="2"/>
        <v>4</v>
      </c>
      <c r="R10" s="174"/>
      <c r="S10" s="175"/>
      <c r="T10" s="14" t="s">
        <v>148</v>
      </c>
      <c r="U10" s="15">
        <v>2371</v>
      </c>
      <c r="V10" s="13">
        <v>16.43</v>
      </c>
      <c r="X10" s="174"/>
      <c r="Y10" s="175"/>
      <c r="Z10" s="14" t="s">
        <v>148</v>
      </c>
      <c r="AA10" s="15">
        <v>6262</v>
      </c>
      <c r="AB10" s="13">
        <v>20.47</v>
      </c>
      <c r="AD10" s="174"/>
      <c r="AE10" s="175"/>
      <c r="AF10" s="14" t="s">
        <v>148</v>
      </c>
      <c r="AG10" s="13">
        <v>641</v>
      </c>
      <c r="AH10" s="13">
        <v>2.2400000000000002</v>
      </c>
      <c r="AJ10" s="174"/>
      <c r="AK10" s="175"/>
      <c r="AL10" s="14" t="s">
        <v>148</v>
      </c>
      <c r="AM10" s="13">
        <v>101</v>
      </c>
      <c r="AN10" s="13">
        <v>0.74</v>
      </c>
      <c r="AP10" s="174"/>
      <c r="AQ10" s="175"/>
      <c r="AR10" s="14" t="s">
        <v>148</v>
      </c>
      <c r="AS10" s="15">
        <v>2828</v>
      </c>
      <c r="AT10" s="13">
        <v>8.68</v>
      </c>
      <c r="AV10" s="174"/>
      <c r="AW10" s="175"/>
      <c r="AX10" s="14" t="s">
        <v>148</v>
      </c>
      <c r="AY10" s="15">
        <v>2393</v>
      </c>
      <c r="AZ10" s="13">
        <v>3.71</v>
      </c>
      <c r="BB10" s="174"/>
      <c r="BC10" s="175"/>
      <c r="BD10" s="14" t="s">
        <v>148</v>
      </c>
      <c r="BE10" s="13">
        <v>465</v>
      </c>
      <c r="BF10" s="13">
        <v>3.07</v>
      </c>
      <c r="BH10" s="174"/>
      <c r="BI10" s="175"/>
      <c r="BJ10" s="14" t="s">
        <v>148</v>
      </c>
      <c r="BK10" s="13">
        <v>40</v>
      </c>
      <c r="BL10" s="13">
        <v>0.14000000000000001</v>
      </c>
    </row>
    <row r="11" spans="2:64" ht="30" x14ac:dyDescent="0.35">
      <c r="B11" s="33" t="s">
        <v>19</v>
      </c>
      <c r="C11" s="22" t="s">
        <v>20</v>
      </c>
      <c r="D11" s="57">
        <f>_xlfn.XLOOKUP($B11,'(3) SKT 51%'!$B$5:$B$40,'(3) SKT 51%'!$D$5:$D$40)</f>
        <v>16539</v>
      </c>
      <c r="E11" s="39">
        <v>1036</v>
      </c>
      <c r="F11" s="39">
        <v>93</v>
      </c>
      <c r="G11" s="39">
        <v>975</v>
      </c>
      <c r="H11" s="39">
        <v>2536</v>
      </c>
      <c r="I11" s="39">
        <v>0</v>
      </c>
      <c r="J11" s="39">
        <v>0</v>
      </c>
      <c r="K11" s="39">
        <v>0</v>
      </c>
      <c r="L11" s="39">
        <v>0</v>
      </c>
      <c r="M11" s="39">
        <v>11899</v>
      </c>
      <c r="N11" s="39">
        <f t="shared" si="0"/>
        <v>1068</v>
      </c>
      <c r="O11" s="48">
        <f t="shared" si="1"/>
        <v>6.4574641755849815E-2</v>
      </c>
      <c r="P11" s="54">
        <f t="shared" si="2"/>
        <v>7</v>
      </c>
      <c r="R11" s="174"/>
      <c r="S11" s="175"/>
      <c r="T11" s="14" t="s">
        <v>149</v>
      </c>
      <c r="U11" s="13">
        <v>0</v>
      </c>
      <c r="V11" s="13">
        <v>0</v>
      </c>
      <c r="X11" s="174"/>
      <c r="Y11" s="175"/>
      <c r="Z11" s="14" t="s">
        <v>149</v>
      </c>
      <c r="AA11" s="13">
        <v>60</v>
      </c>
      <c r="AB11" s="13">
        <v>0.2</v>
      </c>
      <c r="AD11" s="174"/>
      <c r="AE11" s="175"/>
      <c r="AF11" s="14" t="s">
        <v>149</v>
      </c>
      <c r="AG11" s="13">
        <v>21</v>
      </c>
      <c r="AH11" s="13">
        <v>7.0000000000000007E-2</v>
      </c>
      <c r="AJ11" s="174"/>
      <c r="AK11" s="175"/>
      <c r="AL11" s="14" t="s">
        <v>149</v>
      </c>
      <c r="AM11" s="13">
        <v>0</v>
      </c>
      <c r="AN11" s="13">
        <v>0</v>
      </c>
      <c r="AP11" s="174"/>
      <c r="AQ11" s="175"/>
      <c r="AR11" s="14" t="s">
        <v>149</v>
      </c>
      <c r="AS11" s="13">
        <v>3</v>
      </c>
      <c r="AT11" s="13">
        <v>0.01</v>
      </c>
      <c r="AV11" s="174"/>
      <c r="AW11" s="175"/>
      <c r="AX11" s="14" t="s">
        <v>149</v>
      </c>
      <c r="AY11" s="13">
        <v>26</v>
      </c>
      <c r="AZ11" s="13">
        <v>0.04</v>
      </c>
      <c r="BB11" s="174"/>
      <c r="BC11" s="175"/>
      <c r="BD11" s="14" t="s">
        <v>149</v>
      </c>
      <c r="BE11" s="13">
        <v>1</v>
      </c>
      <c r="BF11" s="13">
        <v>0.01</v>
      </c>
      <c r="BH11" s="174"/>
      <c r="BI11" s="175"/>
      <c r="BJ11" s="14" t="s">
        <v>149</v>
      </c>
      <c r="BK11" s="13">
        <v>7</v>
      </c>
      <c r="BL11" s="13">
        <v>0.02</v>
      </c>
    </row>
    <row r="12" spans="2:64" ht="20" x14ac:dyDescent="0.35">
      <c r="B12" s="34" t="s">
        <v>21</v>
      </c>
      <c r="C12" s="26" t="s">
        <v>22</v>
      </c>
      <c r="D12" s="58">
        <f>_xlfn.XLOOKUP($B12,'(3) SKT 51%'!$B$5:$B$40,'(3) SKT 51%'!$D$5:$D$40)</f>
        <v>25951</v>
      </c>
      <c r="E12" s="40">
        <v>767</v>
      </c>
      <c r="F12" s="40">
        <v>201</v>
      </c>
      <c r="G12" s="40">
        <v>838</v>
      </c>
      <c r="H12" s="40">
        <v>2014</v>
      </c>
      <c r="I12" s="40">
        <v>1</v>
      </c>
      <c r="J12" s="40">
        <v>0</v>
      </c>
      <c r="K12" s="40">
        <v>0</v>
      </c>
      <c r="L12" s="40">
        <v>0</v>
      </c>
      <c r="M12" s="40">
        <v>22130</v>
      </c>
      <c r="N12" s="40">
        <f t="shared" si="0"/>
        <v>1039</v>
      </c>
      <c r="O12" s="49">
        <f t="shared" si="1"/>
        <v>4.0036992794111978E-2</v>
      </c>
      <c r="P12" s="55">
        <f t="shared" si="2"/>
        <v>14</v>
      </c>
      <c r="R12" s="174"/>
      <c r="S12" s="175"/>
      <c r="T12" s="14" t="s">
        <v>150</v>
      </c>
      <c r="U12" s="13">
        <v>1</v>
      </c>
      <c r="V12" s="13">
        <v>0.01</v>
      </c>
      <c r="X12" s="174"/>
      <c r="Y12" s="175"/>
      <c r="Z12" s="14" t="s">
        <v>150</v>
      </c>
      <c r="AA12" s="13">
        <v>43</v>
      </c>
      <c r="AB12" s="13">
        <v>0.14000000000000001</v>
      </c>
      <c r="AD12" s="174"/>
      <c r="AE12" s="175"/>
      <c r="AF12" s="14" t="s">
        <v>150</v>
      </c>
      <c r="AG12" s="13">
        <v>0</v>
      </c>
      <c r="AH12" s="13">
        <v>0</v>
      </c>
      <c r="AJ12" s="174"/>
      <c r="AK12" s="175"/>
      <c r="AL12" s="14" t="s">
        <v>150</v>
      </c>
      <c r="AM12" s="13">
        <v>0</v>
      </c>
      <c r="AN12" s="13">
        <v>0</v>
      </c>
      <c r="AP12" s="174"/>
      <c r="AQ12" s="175"/>
      <c r="AR12" s="14" t="s">
        <v>150</v>
      </c>
      <c r="AS12" s="13">
        <v>41</v>
      </c>
      <c r="AT12" s="13">
        <v>0.13</v>
      </c>
      <c r="AV12" s="174"/>
      <c r="AW12" s="175"/>
      <c r="AX12" s="14" t="s">
        <v>150</v>
      </c>
      <c r="AY12" s="13">
        <v>23</v>
      </c>
      <c r="AZ12" s="13">
        <v>0.04</v>
      </c>
      <c r="BB12" s="174"/>
      <c r="BC12" s="175"/>
      <c r="BD12" s="14" t="s">
        <v>150</v>
      </c>
      <c r="BE12" s="13">
        <v>3</v>
      </c>
      <c r="BF12" s="13">
        <v>0.02</v>
      </c>
      <c r="BH12" s="174"/>
      <c r="BI12" s="175"/>
      <c r="BJ12" s="14" t="s">
        <v>150</v>
      </c>
      <c r="BK12" s="13">
        <v>0</v>
      </c>
      <c r="BL12" s="13">
        <v>0</v>
      </c>
    </row>
    <row r="13" spans="2:64" x14ac:dyDescent="0.35">
      <c r="B13" s="34" t="s">
        <v>23</v>
      </c>
      <c r="C13" s="26" t="s">
        <v>24</v>
      </c>
      <c r="D13" s="58">
        <f>_xlfn.XLOOKUP($B13,'(3) SKT 51%'!$B$5:$B$40,'(3) SKT 51%'!$D$5:$D$40)</f>
        <v>28671</v>
      </c>
      <c r="E13" s="40">
        <v>469</v>
      </c>
      <c r="F13" s="40">
        <v>472</v>
      </c>
      <c r="G13" s="40">
        <v>536</v>
      </c>
      <c r="H13" s="40">
        <v>641</v>
      </c>
      <c r="I13" s="40">
        <v>21</v>
      </c>
      <c r="J13" s="40">
        <v>0</v>
      </c>
      <c r="K13" s="40">
        <v>1</v>
      </c>
      <c r="L13" s="40">
        <v>2</v>
      </c>
      <c r="M13" s="40">
        <v>26529</v>
      </c>
      <c r="N13" s="40">
        <f t="shared" si="0"/>
        <v>1010</v>
      </c>
      <c r="O13" s="49">
        <f t="shared" si="1"/>
        <v>3.522723309267204E-2</v>
      </c>
      <c r="P13" s="55">
        <f t="shared" si="2"/>
        <v>16</v>
      </c>
      <c r="R13" s="174"/>
      <c r="S13" s="175"/>
      <c r="T13" s="14" t="s">
        <v>151</v>
      </c>
      <c r="U13" s="13">
        <v>0</v>
      </c>
      <c r="V13" s="13">
        <v>0</v>
      </c>
      <c r="X13" s="174"/>
      <c r="Y13" s="175"/>
      <c r="Z13" s="14" t="s">
        <v>151</v>
      </c>
      <c r="AA13" s="13">
        <v>1</v>
      </c>
      <c r="AB13" s="13">
        <v>0</v>
      </c>
      <c r="AD13" s="174"/>
      <c r="AE13" s="175"/>
      <c r="AF13" s="14" t="s">
        <v>151</v>
      </c>
      <c r="AG13" s="13">
        <v>1</v>
      </c>
      <c r="AH13" s="13">
        <v>0</v>
      </c>
      <c r="AJ13" s="174"/>
      <c r="AK13" s="175"/>
      <c r="AL13" s="14" t="s">
        <v>151</v>
      </c>
      <c r="AM13" s="13">
        <v>2</v>
      </c>
      <c r="AN13" s="13">
        <v>0.01</v>
      </c>
      <c r="AP13" s="174"/>
      <c r="AQ13" s="175"/>
      <c r="AR13" s="14" t="s">
        <v>151</v>
      </c>
      <c r="AS13" s="13">
        <v>5</v>
      </c>
      <c r="AT13" s="13">
        <v>0.02</v>
      </c>
      <c r="AV13" s="174"/>
      <c r="AW13" s="175"/>
      <c r="AX13" s="14" t="s">
        <v>151</v>
      </c>
      <c r="AY13" s="13">
        <v>0</v>
      </c>
      <c r="AZ13" s="13">
        <v>0</v>
      </c>
      <c r="BB13" s="174"/>
      <c r="BC13" s="175"/>
      <c r="BD13" s="14" t="s">
        <v>151</v>
      </c>
      <c r="BE13" s="13">
        <v>3</v>
      </c>
      <c r="BF13" s="13">
        <v>0.02</v>
      </c>
      <c r="BH13" s="174"/>
      <c r="BI13" s="175"/>
      <c r="BJ13" s="14" t="s">
        <v>151</v>
      </c>
      <c r="BK13" s="13">
        <v>0</v>
      </c>
      <c r="BL13" s="13">
        <v>0</v>
      </c>
    </row>
    <row r="14" spans="2:64" ht="30" x14ac:dyDescent="0.35">
      <c r="B14" s="33" t="s">
        <v>25</v>
      </c>
      <c r="C14" s="22" t="s">
        <v>26</v>
      </c>
      <c r="D14" s="57">
        <f>_xlfn.XLOOKUP($B14,'(3) SKT 51%'!$B$5:$B$40,'(3) SKT 51%'!$D$5:$D$40)</f>
        <v>45487</v>
      </c>
      <c r="E14" s="39">
        <v>145</v>
      </c>
      <c r="F14" s="39">
        <v>218</v>
      </c>
      <c r="G14" s="39">
        <v>655</v>
      </c>
      <c r="H14" s="39">
        <v>141</v>
      </c>
      <c r="I14" s="39">
        <v>37</v>
      </c>
      <c r="J14" s="39">
        <v>27</v>
      </c>
      <c r="K14" s="39">
        <v>0</v>
      </c>
      <c r="L14" s="39">
        <v>0</v>
      </c>
      <c r="M14" s="39">
        <v>44264</v>
      </c>
      <c r="N14" s="39">
        <f t="shared" si="0"/>
        <v>873</v>
      </c>
      <c r="O14" s="48">
        <f t="shared" si="1"/>
        <v>1.9192296700156087E-2</v>
      </c>
      <c r="P14" s="54">
        <f t="shared" si="2"/>
        <v>25</v>
      </c>
      <c r="R14" s="174"/>
      <c r="S14" s="175"/>
      <c r="T14" s="14" t="s">
        <v>152</v>
      </c>
      <c r="U14" s="13">
        <v>2</v>
      </c>
      <c r="V14" s="13">
        <v>0.01</v>
      </c>
      <c r="X14" s="174"/>
      <c r="Y14" s="175"/>
      <c r="Z14" s="14" t="s">
        <v>152</v>
      </c>
      <c r="AA14" s="13">
        <v>1</v>
      </c>
      <c r="AB14" s="13">
        <v>0</v>
      </c>
      <c r="AD14" s="174"/>
      <c r="AE14" s="175"/>
      <c r="AF14" s="14" t="s">
        <v>152</v>
      </c>
      <c r="AG14" s="13">
        <v>2</v>
      </c>
      <c r="AH14" s="13">
        <v>0.01</v>
      </c>
      <c r="AJ14" s="174"/>
      <c r="AK14" s="175"/>
      <c r="AL14" s="14" t="s">
        <v>152</v>
      </c>
      <c r="AM14" s="13">
        <v>0</v>
      </c>
      <c r="AN14" s="13">
        <v>0</v>
      </c>
      <c r="AP14" s="174"/>
      <c r="AQ14" s="175"/>
      <c r="AR14" s="14" t="s">
        <v>152</v>
      </c>
      <c r="AS14" s="13">
        <v>2</v>
      </c>
      <c r="AT14" s="13">
        <v>0.01</v>
      </c>
      <c r="AV14" s="174"/>
      <c r="AW14" s="175"/>
      <c r="AX14" s="14" t="s">
        <v>152</v>
      </c>
      <c r="AY14" s="13">
        <v>0</v>
      </c>
      <c r="AZ14" s="13">
        <v>0</v>
      </c>
      <c r="BB14" s="174"/>
      <c r="BC14" s="175"/>
      <c r="BD14" s="14" t="s">
        <v>152</v>
      </c>
      <c r="BE14" s="13">
        <v>0</v>
      </c>
      <c r="BF14" s="13">
        <v>0</v>
      </c>
      <c r="BH14" s="174"/>
      <c r="BI14" s="175"/>
      <c r="BJ14" s="14" t="s">
        <v>152</v>
      </c>
      <c r="BK14" s="13">
        <v>0</v>
      </c>
      <c r="BL14" s="13">
        <v>0</v>
      </c>
    </row>
    <row r="15" spans="2:64" ht="20" x14ac:dyDescent="0.35">
      <c r="B15" s="34" t="s">
        <v>27</v>
      </c>
      <c r="C15" s="26" t="s">
        <v>28</v>
      </c>
      <c r="D15" s="58">
        <f>_xlfn.XLOOKUP($B15,'(3) SKT 51%'!$B$5:$B$40,'(3) SKT 51%'!$D$5:$D$40)</f>
        <v>23141</v>
      </c>
      <c r="E15" s="40">
        <v>1</v>
      </c>
      <c r="F15" s="40">
        <v>8</v>
      </c>
      <c r="G15" s="40">
        <v>23</v>
      </c>
      <c r="H15" s="40">
        <v>1</v>
      </c>
      <c r="I15" s="40">
        <v>0</v>
      </c>
      <c r="J15" s="40">
        <v>0</v>
      </c>
      <c r="K15" s="40">
        <v>0</v>
      </c>
      <c r="L15" s="40">
        <v>0</v>
      </c>
      <c r="M15" s="40">
        <v>23108</v>
      </c>
      <c r="N15" s="40">
        <f t="shared" si="0"/>
        <v>31</v>
      </c>
      <c r="O15" s="49">
        <f t="shared" si="1"/>
        <v>1.3396136727021305E-3</v>
      </c>
      <c r="P15" s="55">
        <f t="shared" si="2"/>
        <v>36</v>
      </c>
      <c r="R15" s="174"/>
      <c r="S15" s="175"/>
      <c r="T15" s="14" t="s">
        <v>153</v>
      </c>
      <c r="U15" s="15">
        <v>9286</v>
      </c>
      <c r="V15" s="13">
        <v>64.37</v>
      </c>
      <c r="X15" s="174"/>
      <c r="Y15" s="175"/>
      <c r="Z15" s="14" t="s">
        <v>153</v>
      </c>
      <c r="AA15" s="15">
        <v>19054</v>
      </c>
      <c r="AB15" s="13">
        <v>62.28</v>
      </c>
      <c r="AD15" s="174"/>
      <c r="AE15" s="175"/>
      <c r="AF15" s="14" t="s">
        <v>153</v>
      </c>
      <c r="AG15" s="15">
        <v>26529</v>
      </c>
      <c r="AH15" s="13">
        <v>92.53</v>
      </c>
      <c r="AJ15" s="174"/>
      <c r="AK15" s="175"/>
      <c r="AL15" s="14" t="s">
        <v>153</v>
      </c>
      <c r="AM15" s="15">
        <v>13205</v>
      </c>
      <c r="AN15" s="13">
        <v>96.61</v>
      </c>
      <c r="AP15" s="174"/>
      <c r="AQ15" s="175"/>
      <c r="AR15" s="14" t="s">
        <v>153</v>
      </c>
      <c r="AS15" s="15">
        <v>25180</v>
      </c>
      <c r="AT15" s="13">
        <v>77.3</v>
      </c>
      <c r="AV15" s="174"/>
      <c r="AW15" s="175"/>
      <c r="AX15" s="14" t="s">
        <v>153</v>
      </c>
      <c r="AY15" s="15">
        <v>58311</v>
      </c>
      <c r="AZ15" s="13">
        <v>90.29</v>
      </c>
      <c r="BB15" s="174"/>
      <c r="BC15" s="175"/>
      <c r="BD15" s="14" t="s">
        <v>153</v>
      </c>
      <c r="BE15" s="15">
        <v>13982</v>
      </c>
      <c r="BF15" s="13">
        <v>92.35</v>
      </c>
      <c r="BH15" s="174"/>
      <c r="BI15" s="175"/>
      <c r="BJ15" s="14" t="s">
        <v>153</v>
      </c>
      <c r="BK15" s="15">
        <v>28795</v>
      </c>
      <c r="BL15" s="13">
        <v>98.49</v>
      </c>
    </row>
    <row r="16" spans="2:64" ht="20" x14ac:dyDescent="0.35">
      <c r="B16" s="33" t="s">
        <v>29</v>
      </c>
      <c r="C16" s="22" t="s">
        <v>30</v>
      </c>
      <c r="D16" s="57">
        <f>_xlfn.XLOOKUP($B16,'(3) SKT 51%'!$B$5:$B$40,'(3) SKT 51%'!$D$5:$D$40)</f>
        <v>12975</v>
      </c>
      <c r="E16" s="39">
        <v>9</v>
      </c>
      <c r="F16" s="39">
        <v>64</v>
      </c>
      <c r="G16" s="39">
        <v>159</v>
      </c>
      <c r="H16" s="39">
        <v>284</v>
      </c>
      <c r="I16" s="39">
        <v>0</v>
      </c>
      <c r="J16" s="39">
        <v>17</v>
      </c>
      <c r="K16" s="39">
        <v>3</v>
      </c>
      <c r="L16" s="39">
        <v>0</v>
      </c>
      <c r="M16" s="39">
        <v>12439</v>
      </c>
      <c r="N16" s="39">
        <f t="shared" si="0"/>
        <v>223</v>
      </c>
      <c r="O16" s="48">
        <f t="shared" si="1"/>
        <v>1.7186897880539499E-2</v>
      </c>
      <c r="P16" s="54">
        <f t="shared" si="2"/>
        <v>27</v>
      </c>
      <c r="R16" s="173"/>
      <c r="S16" s="173"/>
      <c r="T16" s="16" t="s">
        <v>154</v>
      </c>
      <c r="U16" s="17">
        <v>14427</v>
      </c>
      <c r="V16" s="18"/>
      <c r="X16" s="173"/>
      <c r="Y16" s="173"/>
      <c r="Z16" s="16" t="s">
        <v>154</v>
      </c>
      <c r="AA16" s="17">
        <v>30593</v>
      </c>
      <c r="AB16" s="18"/>
      <c r="AD16" s="173"/>
      <c r="AE16" s="173"/>
      <c r="AF16" s="16" t="s">
        <v>154</v>
      </c>
      <c r="AG16" s="17">
        <v>28671</v>
      </c>
      <c r="AH16" s="18"/>
      <c r="AJ16" s="173"/>
      <c r="AK16" s="173"/>
      <c r="AL16" s="16" t="s">
        <v>154</v>
      </c>
      <c r="AM16" s="17">
        <v>13669</v>
      </c>
      <c r="AN16" s="18"/>
      <c r="AP16" s="173"/>
      <c r="AQ16" s="173"/>
      <c r="AR16" s="16" t="s">
        <v>154</v>
      </c>
      <c r="AS16" s="17">
        <v>32575</v>
      </c>
      <c r="AT16" s="18"/>
      <c r="AV16" s="173"/>
      <c r="AW16" s="173"/>
      <c r="AX16" s="16" t="s">
        <v>154</v>
      </c>
      <c r="AY16" s="17">
        <v>64582</v>
      </c>
      <c r="AZ16" s="18"/>
      <c r="BB16" s="173"/>
      <c r="BC16" s="173"/>
      <c r="BD16" s="16" t="s">
        <v>154</v>
      </c>
      <c r="BE16" s="17">
        <v>15141</v>
      </c>
      <c r="BF16" s="18"/>
      <c r="BH16" s="173"/>
      <c r="BI16" s="173"/>
      <c r="BJ16" s="16" t="s">
        <v>154</v>
      </c>
      <c r="BK16" s="17">
        <v>29235</v>
      </c>
      <c r="BL16" s="18"/>
    </row>
    <row r="17" spans="2:64" ht="20" x14ac:dyDescent="0.35">
      <c r="B17" s="34" t="s">
        <v>31</v>
      </c>
      <c r="C17" s="26" t="s">
        <v>32</v>
      </c>
      <c r="D17" s="58">
        <f>_xlfn.XLOOKUP($B17,'(3) SKT 51%'!$B$5:$B$40,'(3) SKT 51%'!$D$5:$D$40)</f>
        <v>33885</v>
      </c>
      <c r="E17" s="40">
        <v>3998</v>
      </c>
      <c r="F17" s="40">
        <v>588</v>
      </c>
      <c r="G17" s="40">
        <v>1661</v>
      </c>
      <c r="H17" s="40">
        <v>2385</v>
      </c>
      <c r="I17" s="40">
        <v>5</v>
      </c>
      <c r="J17" s="40">
        <v>1</v>
      </c>
      <c r="K17" s="40">
        <v>0</v>
      </c>
      <c r="L17" s="40">
        <v>0</v>
      </c>
      <c r="M17" s="40">
        <v>25247</v>
      </c>
      <c r="N17" s="40">
        <f t="shared" si="0"/>
        <v>2249</v>
      </c>
      <c r="O17" s="49">
        <f t="shared" si="1"/>
        <v>6.6371550833702234E-2</v>
      </c>
      <c r="P17" s="55">
        <f t="shared" si="2"/>
        <v>6</v>
      </c>
      <c r="R17" s="174">
        <v>2</v>
      </c>
      <c r="S17" s="175" t="s">
        <v>87</v>
      </c>
      <c r="T17" s="14" t="s">
        <v>145</v>
      </c>
      <c r="U17" s="15">
        <v>2361</v>
      </c>
      <c r="V17" s="13">
        <v>18.329999999999998</v>
      </c>
      <c r="X17" s="174">
        <v>2</v>
      </c>
      <c r="Y17" s="175" t="s">
        <v>92</v>
      </c>
      <c r="Z17" s="14" t="s">
        <v>145</v>
      </c>
      <c r="AA17" s="15">
        <v>2264</v>
      </c>
      <c r="AB17" s="13">
        <v>9.61</v>
      </c>
      <c r="AD17" s="174">
        <v>2</v>
      </c>
      <c r="AE17" s="175" t="s">
        <v>97</v>
      </c>
      <c r="AF17" s="14" t="s">
        <v>145</v>
      </c>
      <c r="AG17" s="13">
        <v>145</v>
      </c>
      <c r="AH17" s="13">
        <v>0.32</v>
      </c>
      <c r="AJ17" s="174">
        <v>2</v>
      </c>
      <c r="AK17" s="175" t="s">
        <v>104</v>
      </c>
      <c r="AL17" s="14" t="s">
        <v>145</v>
      </c>
      <c r="AM17" s="13">
        <v>7</v>
      </c>
      <c r="AN17" s="13">
        <v>7.0000000000000007E-2</v>
      </c>
      <c r="AP17" s="174">
        <v>2</v>
      </c>
      <c r="AQ17" s="175" t="s">
        <v>110</v>
      </c>
      <c r="AR17" s="14" t="s">
        <v>145</v>
      </c>
      <c r="AS17" s="13">
        <v>23</v>
      </c>
      <c r="AT17" s="13">
        <v>0.05</v>
      </c>
      <c r="AV17" s="174">
        <v>2</v>
      </c>
      <c r="AW17" s="175" t="s">
        <v>116</v>
      </c>
      <c r="AX17" s="14" t="s">
        <v>145</v>
      </c>
      <c r="AY17" s="13">
        <v>30</v>
      </c>
      <c r="AZ17" s="13">
        <v>0.11</v>
      </c>
      <c r="BB17" s="174">
        <v>2</v>
      </c>
      <c r="BC17" s="175" t="s">
        <v>121</v>
      </c>
      <c r="BD17" s="14" t="s">
        <v>145</v>
      </c>
      <c r="BE17" s="15">
        <v>1242</v>
      </c>
      <c r="BF17" s="13">
        <v>4.43</v>
      </c>
      <c r="BH17" s="174">
        <v>2</v>
      </c>
      <c r="BI17" s="175" t="s">
        <v>127</v>
      </c>
      <c r="BJ17" s="14" t="s">
        <v>145</v>
      </c>
      <c r="BK17" s="13">
        <v>381</v>
      </c>
      <c r="BL17" s="13">
        <v>1.53</v>
      </c>
    </row>
    <row r="18" spans="2:64" x14ac:dyDescent="0.35">
      <c r="B18" s="33" t="s">
        <v>33</v>
      </c>
      <c r="C18" s="22" t="s">
        <v>34</v>
      </c>
      <c r="D18" s="57">
        <f>_xlfn.XLOOKUP($B18,'(3) SKT 51%'!$B$5:$B$40,'(3) SKT 51%'!$D$5:$D$40)</f>
        <v>21338</v>
      </c>
      <c r="E18" s="39">
        <v>208</v>
      </c>
      <c r="F18" s="39">
        <v>397</v>
      </c>
      <c r="G18" s="39">
        <v>408</v>
      </c>
      <c r="H18" s="39">
        <v>141</v>
      </c>
      <c r="I18" s="39">
        <v>1</v>
      </c>
      <c r="J18" s="39">
        <v>0</v>
      </c>
      <c r="K18" s="39">
        <v>3</v>
      </c>
      <c r="L18" s="39">
        <v>0</v>
      </c>
      <c r="M18" s="39">
        <v>20180</v>
      </c>
      <c r="N18" s="39">
        <f t="shared" si="0"/>
        <v>805</v>
      </c>
      <c r="O18" s="48">
        <f t="shared" si="1"/>
        <v>3.7726122410722651E-2</v>
      </c>
      <c r="P18" s="54">
        <f t="shared" si="2"/>
        <v>15</v>
      </c>
      <c r="R18" s="174"/>
      <c r="S18" s="175"/>
      <c r="T18" s="14" t="s">
        <v>146</v>
      </c>
      <c r="U18" s="13">
        <v>278</v>
      </c>
      <c r="V18" s="13">
        <v>2.16</v>
      </c>
      <c r="X18" s="174"/>
      <c r="Y18" s="175"/>
      <c r="Z18" s="14" t="s">
        <v>146</v>
      </c>
      <c r="AA18" s="13">
        <v>203</v>
      </c>
      <c r="AB18" s="13">
        <v>0.86</v>
      </c>
      <c r="AD18" s="174"/>
      <c r="AE18" s="175"/>
      <c r="AF18" s="14" t="s">
        <v>146</v>
      </c>
      <c r="AG18" s="13">
        <v>218</v>
      </c>
      <c r="AH18" s="13">
        <v>0.48</v>
      </c>
      <c r="AJ18" s="174"/>
      <c r="AK18" s="175"/>
      <c r="AL18" s="14" t="s">
        <v>146</v>
      </c>
      <c r="AM18" s="13">
        <v>176</v>
      </c>
      <c r="AN18" s="13">
        <v>1.74</v>
      </c>
      <c r="AP18" s="174"/>
      <c r="AQ18" s="175"/>
      <c r="AR18" s="14" t="s">
        <v>146</v>
      </c>
      <c r="AS18" s="13">
        <v>55</v>
      </c>
      <c r="AT18" s="13">
        <v>0.11</v>
      </c>
      <c r="AV18" s="174"/>
      <c r="AW18" s="175"/>
      <c r="AX18" s="14" t="s">
        <v>146</v>
      </c>
      <c r="AY18" s="13">
        <v>382</v>
      </c>
      <c r="AZ18" s="13">
        <v>1.44</v>
      </c>
      <c r="BB18" s="174"/>
      <c r="BC18" s="175"/>
      <c r="BD18" s="14" t="s">
        <v>146</v>
      </c>
      <c r="BE18" s="13">
        <v>172</v>
      </c>
      <c r="BF18" s="13">
        <v>0.61</v>
      </c>
      <c r="BH18" s="174"/>
      <c r="BI18" s="175"/>
      <c r="BJ18" s="14" t="s">
        <v>146</v>
      </c>
      <c r="BK18" s="13">
        <v>410</v>
      </c>
      <c r="BL18" s="13">
        <v>1.65</v>
      </c>
    </row>
    <row r="19" spans="2:64" ht="30" x14ac:dyDescent="0.35">
      <c r="B19" s="33" t="s">
        <v>35</v>
      </c>
      <c r="C19" s="22" t="s">
        <v>36</v>
      </c>
      <c r="D19" s="57">
        <f>_xlfn.XLOOKUP($B19,'(3) SKT 51%'!$B$5:$B$40,'(3) SKT 51%'!$D$5:$D$40)</f>
        <v>13669</v>
      </c>
      <c r="E19" s="39">
        <v>31</v>
      </c>
      <c r="F19" s="39">
        <v>251</v>
      </c>
      <c r="G19" s="39">
        <v>79</v>
      </c>
      <c r="H19" s="39">
        <v>101</v>
      </c>
      <c r="I19" s="39">
        <v>0</v>
      </c>
      <c r="J19" s="39">
        <v>0</v>
      </c>
      <c r="K19" s="39">
        <v>2</v>
      </c>
      <c r="L19" s="39">
        <v>0</v>
      </c>
      <c r="M19" s="39">
        <v>13205</v>
      </c>
      <c r="N19" s="39">
        <f t="shared" si="0"/>
        <v>330</v>
      </c>
      <c r="O19" s="48">
        <f t="shared" si="1"/>
        <v>2.4142219621040309E-2</v>
      </c>
      <c r="P19" s="54">
        <f t="shared" si="2"/>
        <v>21</v>
      </c>
      <c r="R19" s="174"/>
      <c r="S19" s="175"/>
      <c r="T19" s="14" t="s">
        <v>147</v>
      </c>
      <c r="U19" s="15">
        <v>1143</v>
      </c>
      <c r="V19" s="13">
        <v>8.8699999999999992</v>
      </c>
      <c r="X19" s="174"/>
      <c r="Y19" s="175"/>
      <c r="Z19" s="14" t="s">
        <v>147</v>
      </c>
      <c r="AA19" s="15">
        <v>2348</v>
      </c>
      <c r="AB19" s="13">
        <v>9.9700000000000006</v>
      </c>
      <c r="AD19" s="174"/>
      <c r="AE19" s="175"/>
      <c r="AF19" s="14" t="s">
        <v>147</v>
      </c>
      <c r="AG19" s="13">
        <v>655</v>
      </c>
      <c r="AH19" s="13">
        <v>1.44</v>
      </c>
      <c r="AJ19" s="174"/>
      <c r="AK19" s="175"/>
      <c r="AL19" s="14" t="s">
        <v>147</v>
      </c>
      <c r="AM19" s="13">
        <v>53</v>
      </c>
      <c r="AN19" s="13">
        <v>0.52</v>
      </c>
      <c r="AP19" s="174"/>
      <c r="AQ19" s="175"/>
      <c r="AR19" s="14" t="s">
        <v>147</v>
      </c>
      <c r="AS19" s="13">
        <v>67</v>
      </c>
      <c r="AT19" s="13">
        <v>0.14000000000000001</v>
      </c>
      <c r="AV19" s="174"/>
      <c r="AW19" s="175"/>
      <c r="AX19" s="14" t="s">
        <v>147</v>
      </c>
      <c r="AY19" s="13">
        <v>151</v>
      </c>
      <c r="AZ19" s="13">
        <v>0.56999999999999995</v>
      </c>
      <c r="BB19" s="174"/>
      <c r="BC19" s="175"/>
      <c r="BD19" s="14" t="s">
        <v>147</v>
      </c>
      <c r="BE19" s="13">
        <v>314</v>
      </c>
      <c r="BF19" s="13">
        <v>1.1200000000000001</v>
      </c>
      <c r="BH19" s="174"/>
      <c r="BI19" s="175"/>
      <c r="BJ19" s="14" t="s">
        <v>147</v>
      </c>
      <c r="BK19" s="13">
        <v>253</v>
      </c>
      <c r="BL19" s="13">
        <v>1.02</v>
      </c>
    </row>
    <row r="20" spans="2:64" ht="20" x14ac:dyDescent="0.35">
      <c r="B20" s="34" t="s">
        <v>37</v>
      </c>
      <c r="C20" s="26" t="s">
        <v>38</v>
      </c>
      <c r="D20" s="58">
        <f>_xlfn.XLOOKUP($B20,'(3) SKT 51%'!$B$5:$B$40,'(3) SKT 51%'!$D$5:$D$40)</f>
        <v>10100</v>
      </c>
      <c r="E20" s="40">
        <v>7</v>
      </c>
      <c r="F20" s="40">
        <v>176</v>
      </c>
      <c r="G20" s="40">
        <v>53</v>
      </c>
      <c r="H20" s="40">
        <v>30</v>
      </c>
      <c r="I20" s="40">
        <v>2</v>
      </c>
      <c r="J20" s="40">
        <v>2</v>
      </c>
      <c r="K20" s="40">
        <v>0</v>
      </c>
      <c r="L20" s="40">
        <v>0</v>
      </c>
      <c r="M20" s="40">
        <v>9830</v>
      </c>
      <c r="N20" s="40">
        <f t="shared" si="0"/>
        <v>229</v>
      </c>
      <c r="O20" s="49">
        <f t="shared" si="1"/>
        <v>2.2673267326732673E-2</v>
      </c>
      <c r="P20" s="55">
        <f t="shared" si="2"/>
        <v>22</v>
      </c>
      <c r="R20" s="174"/>
      <c r="S20" s="175"/>
      <c r="T20" s="14" t="s">
        <v>148</v>
      </c>
      <c r="U20" s="15">
        <v>2826</v>
      </c>
      <c r="V20" s="13">
        <v>21.94</v>
      </c>
      <c r="X20" s="174"/>
      <c r="Y20" s="175"/>
      <c r="Z20" s="14" t="s">
        <v>148</v>
      </c>
      <c r="AA20" s="15">
        <v>7086</v>
      </c>
      <c r="AB20" s="13">
        <v>30.09</v>
      </c>
      <c r="AD20" s="174"/>
      <c r="AE20" s="175"/>
      <c r="AF20" s="14" t="s">
        <v>148</v>
      </c>
      <c r="AG20" s="13">
        <v>141</v>
      </c>
      <c r="AH20" s="13">
        <v>0.31</v>
      </c>
      <c r="AJ20" s="174"/>
      <c r="AK20" s="175"/>
      <c r="AL20" s="14" t="s">
        <v>148</v>
      </c>
      <c r="AM20" s="13">
        <v>30</v>
      </c>
      <c r="AN20" s="13">
        <v>0.3</v>
      </c>
      <c r="AP20" s="174"/>
      <c r="AQ20" s="175"/>
      <c r="AR20" s="14" t="s">
        <v>148</v>
      </c>
      <c r="AS20" s="13">
        <v>14</v>
      </c>
      <c r="AT20" s="13">
        <v>0.03</v>
      </c>
      <c r="AV20" s="174"/>
      <c r="AW20" s="175"/>
      <c r="AX20" s="14" t="s">
        <v>148</v>
      </c>
      <c r="AY20" s="13">
        <v>548</v>
      </c>
      <c r="AZ20" s="13">
        <v>2.0699999999999998</v>
      </c>
      <c r="BB20" s="174"/>
      <c r="BC20" s="175"/>
      <c r="BD20" s="14" t="s">
        <v>148</v>
      </c>
      <c r="BE20" s="13">
        <v>210</v>
      </c>
      <c r="BF20" s="13">
        <v>0.75</v>
      </c>
      <c r="BH20" s="174"/>
      <c r="BI20" s="175"/>
      <c r="BJ20" s="14" t="s">
        <v>148</v>
      </c>
      <c r="BK20" s="13">
        <v>78</v>
      </c>
      <c r="BL20" s="13">
        <v>0.31</v>
      </c>
    </row>
    <row r="21" spans="2:64" ht="30" x14ac:dyDescent="0.35">
      <c r="B21" s="34" t="s">
        <v>39</v>
      </c>
      <c r="C21" s="26" t="s">
        <v>40</v>
      </c>
      <c r="D21" s="58">
        <f>_xlfn.XLOOKUP($B21,'(3) SKT 51%'!$B$5:$B$40,'(3) SKT 51%'!$D$5:$D$40)</f>
        <v>9914</v>
      </c>
      <c r="E21" s="40">
        <v>22</v>
      </c>
      <c r="F21" s="40">
        <v>208</v>
      </c>
      <c r="G21" s="40">
        <v>54</v>
      </c>
      <c r="H21" s="40">
        <v>43</v>
      </c>
      <c r="I21" s="40">
        <v>2</v>
      </c>
      <c r="J21" s="40">
        <v>4</v>
      </c>
      <c r="K21" s="40">
        <v>1</v>
      </c>
      <c r="L21" s="40">
        <v>1</v>
      </c>
      <c r="M21" s="40">
        <v>9579</v>
      </c>
      <c r="N21" s="40">
        <f t="shared" si="0"/>
        <v>263</v>
      </c>
      <c r="O21" s="49">
        <f t="shared" si="1"/>
        <v>2.6528142021383903E-2</v>
      </c>
      <c r="P21" s="55">
        <f t="shared" si="2"/>
        <v>18</v>
      </c>
      <c r="R21" s="174"/>
      <c r="S21" s="175"/>
      <c r="T21" s="14" t="s">
        <v>149</v>
      </c>
      <c r="U21" s="13">
        <v>0</v>
      </c>
      <c r="V21" s="13">
        <v>0</v>
      </c>
      <c r="X21" s="174"/>
      <c r="Y21" s="175"/>
      <c r="Z21" s="14" t="s">
        <v>149</v>
      </c>
      <c r="AA21" s="13">
        <v>0</v>
      </c>
      <c r="AB21" s="13">
        <v>0</v>
      </c>
      <c r="AD21" s="174"/>
      <c r="AE21" s="175"/>
      <c r="AF21" s="14" t="s">
        <v>149</v>
      </c>
      <c r="AG21" s="13">
        <v>37</v>
      </c>
      <c r="AH21" s="13">
        <v>0.08</v>
      </c>
      <c r="AJ21" s="174"/>
      <c r="AK21" s="175"/>
      <c r="AL21" s="14" t="s">
        <v>149</v>
      </c>
      <c r="AM21" s="13">
        <v>2</v>
      </c>
      <c r="AN21" s="13">
        <v>0.02</v>
      </c>
      <c r="AP21" s="174"/>
      <c r="AQ21" s="175"/>
      <c r="AR21" s="14" t="s">
        <v>149</v>
      </c>
      <c r="AS21" s="13">
        <v>0</v>
      </c>
      <c r="AT21" s="13">
        <v>0</v>
      </c>
      <c r="AV21" s="174"/>
      <c r="AW21" s="175"/>
      <c r="AX21" s="14" t="s">
        <v>149</v>
      </c>
      <c r="AY21" s="13">
        <v>0</v>
      </c>
      <c r="AZ21" s="13">
        <v>0</v>
      </c>
      <c r="BB21" s="174"/>
      <c r="BC21" s="175"/>
      <c r="BD21" s="14" t="s">
        <v>149</v>
      </c>
      <c r="BE21" s="13">
        <v>115</v>
      </c>
      <c r="BF21" s="13">
        <v>0.41</v>
      </c>
      <c r="BH21" s="174"/>
      <c r="BI21" s="175"/>
      <c r="BJ21" s="14" t="s">
        <v>149</v>
      </c>
      <c r="BK21" s="13">
        <v>77</v>
      </c>
      <c r="BL21" s="13">
        <v>0.31</v>
      </c>
    </row>
    <row r="22" spans="2:64" ht="20" x14ac:dyDescent="0.35">
      <c r="B22" s="34" t="s">
        <v>41</v>
      </c>
      <c r="C22" s="26" t="s">
        <v>42</v>
      </c>
      <c r="D22" s="58">
        <f>_xlfn.XLOOKUP($B22,'(3) SKT 51%'!$B$5:$B$40,'(3) SKT 51%'!$D$5:$D$40)</f>
        <v>17963</v>
      </c>
      <c r="E22" s="40">
        <v>429</v>
      </c>
      <c r="F22" s="40">
        <v>258</v>
      </c>
      <c r="G22" s="40">
        <v>89</v>
      </c>
      <c r="H22" s="40">
        <v>142</v>
      </c>
      <c r="I22" s="40">
        <v>8</v>
      </c>
      <c r="J22" s="40">
        <v>20</v>
      </c>
      <c r="K22" s="40">
        <v>0</v>
      </c>
      <c r="L22" s="40">
        <v>0</v>
      </c>
      <c r="M22" s="40">
        <v>17017</v>
      </c>
      <c r="N22" s="40">
        <f t="shared" si="0"/>
        <v>347</v>
      </c>
      <c r="O22" s="49">
        <f t="shared" si="1"/>
        <v>1.9317485943327953E-2</v>
      </c>
      <c r="P22" s="55">
        <f t="shared" si="2"/>
        <v>24</v>
      </c>
      <c r="R22" s="174"/>
      <c r="S22" s="175"/>
      <c r="T22" s="14" t="s">
        <v>150</v>
      </c>
      <c r="U22" s="13">
        <v>0</v>
      </c>
      <c r="V22" s="13">
        <v>0</v>
      </c>
      <c r="X22" s="174"/>
      <c r="Y22" s="175"/>
      <c r="Z22" s="14" t="s">
        <v>150</v>
      </c>
      <c r="AA22" s="13">
        <v>0</v>
      </c>
      <c r="AB22" s="13">
        <v>0</v>
      </c>
      <c r="AD22" s="174"/>
      <c r="AE22" s="175"/>
      <c r="AF22" s="14" t="s">
        <v>150</v>
      </c>
      <c r="AG22" s="13">
        <v>27</v>
      </c>
      <c r="AH22" s="13">
        <v>0.06</v>
      </c>
      <c r="AJ22" s="174"/>
      <c r="AK22" s="175"/>
      <c r="AL22" s="14" t="s">
        <v>150</v>
      </c>
      <c r="AM22" s="13">
        <v>2</v>
      </c>
      <c r="AN22" s="13">
        <v>0.02</v>
      </c>
      <c r="AP22" s="174"/>
      <c r="AQ22" s="175"/>
      <c r="AR22" s="14" t="s">
        <v>150</v>
      </c>
      <c r="AS22" s="13">
        <v>0</v>
      </c>
      <c r="AT22" s="13">
        <v>0</v>
      </c>
      <c r="AV22" s="174"/>
      <c r="AW22" s="175"/>
      <c r="AX22" s="14" t="s">
        <v>150</v>
      </c>
      <c r="AY22" s="13">
        <v>0</v>
      </c>
      <c r="AZ22" s="13">
        <v>0</v>
      </c>
      <c r="BB22" s="174"/>
      <c r="BC22" s="175"/>
      <c r="BD22" s="14" t="s">
        <v>150</v>
      </c>
      <c r="BE22" s="13">
        <v>17</v>
      </c>
      <c r="BF22" s="13">
        <v>0.06</v>
      </c>
      <c r="BH22" s="174"/>
      <c r="BI22" s="175"/>
      <c r="BJ22" s="14" t="s">
        <v>150</v>
      </c>
      <c r="BK22" s="13">
        <v>7</v>
      </c>
      <c r="BL22" s="13">
        <v>0.03</v>
      </c>
    </row>
    <row r="23" spans="2:64" x14ac:dyDescent="0.35">
      <c r="B23" s="33" t="s">
        <v>43</v>
      </c>
      <c r="C23" s="22" t="s">
        <v>44</v>
      </c>
      <c r="D23" s="57">
        <f>_xlfn.XLOOKUP($B23,'(3) SKT 51%'!$B$5:$B$40,'(3) SKT 51%'!$D$5:$D$40)</f>
        <v>12359</v>
      </c>
      <c r="E23" s="39">
        <v>453</v>
      </c>
      <c r="F23" s="39">
        <v>472</v>
      </c>
      <c r="G23" s="39">
        <v>240</v>
      </c>
      <c r="H23" s="39">
        <v>540</v>
      </c>
      <c r="I23" s="39">
        <v>212</v>
      </c>
      <c r="J23" s="39">
        <v>1</v>
      </c>
      <c r="K23" s="39">
        <v>20</v>
      </c>
      <c r="L23" s="39">
        <v>1</v>
      </c>
      <c r="M23" s="39">
        <v>10420</v>
      </c>
      <c r="N23" s="39">
        <f t="shared" si="0"/>
        <v>713</v>
      </c>
      <c r="O23" s="48">
        <f t="shared" si="1"/>
        <v>5.7690751678938425E-2</v>
      </c>
      <c r="P23" s="54">
        <f t="shared" si="2"/>
        <v>9</v>
      </c>
      <c r="R23" s="174"/>
      <c r="S23" s="175"/>
      <c r="T23" s="14" t="s">
        <v>151</v>
      </c>
      <c r="U23" s="13">
        <v>6</v>
      </c>
      <c r="V23" s="13">
        <v>0.05</v>
      </c>
      <c r="X23" s="174"/>
      <c r="Y23" s="175"/>
      <c r="Z23" s="14" t="s">
        <v>151</v>
      </c>
      <c r="AA23" s="13">
        <v>0</v>
      </c>
      <c r="AB23" s="13">
        <v>0</v>
      </c>
      <c r="AD23" s="174"/>
      <c r="AE23" s="175"/>
      <c r="AF23" s="14" t="s">
        <v>151</v>
      </c>
      <c r="AG23" s="13">
        <v>0</v>
      </c>
      <c r="AH23" s="13">
        <v>0</v>
      </c>
      <c r="AJ23" s="174"/>
      <c r="AK23" s="175"/>
      <c r="AL23" s="14" t="s">
        <v>151</v>
      </c>
      <c r="AM23" s="13">
        <v>0</v>
      </c>
      <c r="AN23" s="13">
        <v>0</v>
      </c>
      <c r="AP23" s="174"/>
      <c r="AQ23" s="175"/>
      <c r="AR23" s="14" t="s">
        <v>151</v>
      </c>
      <c r="AS23" s="13">
        <v>0</v>
      </c>
      <c r="AT23" s="13">
        <v>0</v>
      </c>
      <c r="AV23" s="174"/>
      <c r="AW23" s="175"/>
      <c r="AX23" s="14" t="s">
        <v>151</v>
      </c>
      <c r="AY23" s="13">
        <v>0</v>
      </c>
      <c r="AZ23" s="13">
        <v>0</v>
      </c>
      <c r="BB23" s="174"/>
      <c r="BC23" s="175"/>
      <c r="BD23" s="14" t="s">
        <v>151</v>
      </c>
      <c r="BE23" s="13">
        <v>0</v>
      </c>
      <c r="BF23" s="13">
        <v>0</v>
      </c>
      <c r="BH23" s="174"/>
      <c r="BI23" s="175"/>
      <c r="BJ23" s="14" t="s">
        <v>151</v>
      </c>
      <c r="BK23" s="13">
        <v>5</v>
      </c>
      <c r="BL23" s="13">
        <v>0.02</v>
      </c>
    </row>
    <row r="24" spans="2:64" ht="30" x14ac:dyDescent="0.35">
      <c r="B24" s="33" t="s">
        <v>45</v>
      </c>
      <c r="C24" s="22" t="s">
        <v>46</v>
      </c>
      <c r="D24" s="57">
        <f>_xlfn.XLOOKUP($B24,'(3) SKT 51%'!$B$5:$B$40,'(3) SKT 51%'!$D$5:$D$40)</f>
        <v>32575</v>
      </c>
      <c r="E24" s="39">
        <v>2861</v>
      </c>
      <c r="F24" s="39">
        <v>697</v>
      </c>
      <c r="G24" s="39">
        <v>958</v>
      </c>
      <c r="H24" s="39">
        <v>2828</v>
      </c>
      <c r="I24" s="39">
        <v>3</v>
      </c>
      <c r="J24" s="39">
        <v>41</v>
      </c>
      <c r="K24" s="39">
        <v>5</v>
      </c>
      <c r="L24" s="39">
        <v>2</v>
      </c>
      <c r="M24" s="39">
        <v>25180</v>
      </c>
      <c r="N24" s="39">
        <f t="shared" si="0"/>
        <v>1657</v>
      </c>
      <c r="O24" s="48">
        <f t="shared" si="1"/>
        <v>5.0867229470452802E-2</v>
      </c>
      <c r="P24" s="54">
        <f t="shared" si="2"/>
        <v>11</v>
      </c>
      <c r="R24" s="174"/>
      <c r="S24" s="175"/>
      <c r="T24" s="14" t="s">
        <v>152</v>
      </c>
      <c r="U24" s="13">
        <v>0</v>
      </c>
      <c r="V24" s="13">
        <v>0</v>
      </c>
      <c r="X24" s="174"/>
      <c r="Y24" s="175"/>
      <c r="Z24" s="14" t="s">
        <v>152</v>
      </c>
      <c r="AA24" s="13">
        <v>0</v>
      </c>
      <c r="AB24" s="13">
        <v>0</v>
      </c>
      <c r="AD24" s="174"/>
      <c r="AE24" s="175"/>
      <c r="AF24" s="14" t="s">
        <v>152</v>
      </c>
      <c r="AG24" s="13">
        <v>0</v>
      </c>
      <c r="AH24" s="13">
        <v>0</v>
      </c>
      <c r="AJ24" s="174"/>
      <c r="AK24" s="175"/>
      <c r="AL24" s="14" t="s">
        <v>152</v>
      </c>
      <c r="AM24" s="13">
        <v>0</v>
      </c>
      <c r="AN24" s="13">
        <v>0</v>
      </c>
      <c r="AP24" s="174"/>
      <c r="AQ24" s="175"/>
      <c r="AR24" s="14" t="s">
        <v>152</v>
      </c>
      <c r="AS24" s="13">
        <v>0</v>
      </c>
      <c r="AT24" s="13">
        <v>0</v>
      </c>
      <c r="AV24" s="174"/>
      <c r="AW24" s="175"/>
      <c r="AX24" s="14" t="s">
        <v>152</v>
      </c>
      <c r="AY24" s="13">
        <v>1</v>
      </c>
      <c r="AZ24" s="13">
        <v>0</v>
      </c>
      <c r="BB24" s="174"/>
      <c r="BC24" s="175"/>
      <c r="BD24" s="14" t="s">
        <v>152</v>
      </c>
      <c r="BE24" s="13">
        <v>0</v>
      </c>
      <c r="BF24" s="13">
        <v>0</v>
      </c>
      <c r="BH24" s="174"/>
      <c r="BI24" s="175"/>
      <c r="BJ24" s="14" t="s">
        <v>152</v>
      </c>
      <c r="BK24" s="13">
        <v>1</v>
      </c>
      <c r="BL24" s="13">
        <v>0</v>
      </c>
    </row>
    <row r="25" spans="2:64" ht="20" x14ac:dyDescent="0.35">
      <c r="B25" s="34" t="s">
        <v>47</v>
      </c>
      <c r="C25" s="26" t="s">
        <v>48</v>
      </c>
      <c r="D25" s="58">
        <f>_xlfn.XLOOKUP($B25,'(3) SKT 51%'!$B$5:$B$40,'(3) SKT 51%'!$D$5:$D$40)</f>
        <v>49248</v>
      </c>
      <c r="E25" s="40">
        <v>23</v>
      </c>
      <c r="F25" s="40">
        <v>55</v>
      </c>
      <c r="G25" s="40">
        <v>67</v>
      </c>
      <c r="H25" s="40">
        <v>14</v>
      </c>
      <c r="I25" s="40">
        <v>0</v>
      </c>
      <c r="J25" s="40">
        <v>0</v>
      </c>
      <c r="K25" s="40">
        <v>0</v>
      </c>
      <c r="L25" s="40">
        <v>0</v>
      </c>
      <c r="M25" s="40">
        <v>49089</v>
      </c>
      <c r="N25" s="40">
        <f t="shared" si="0"/>
        <v>122</v>
      </c>
      <c r="O25" s="49">
        <f t="shared" si="1"/>
        <v>2.4772579597140999E-3</v>
      </c>
      <c r="P25" s="55">
        <f t="shared" si="2"/>
        <v>34</v>
      </c>
      <c r="R25" s="174"/>
      <c r="S25" s="175"/>
      <c r="T25" s="14" t="s">
        <v>153</v>
      </c>
      <c r="U25" s="15">
        <v>6266</v>
      </c>
      <c r="V25" s="13">
        <v>48.65</v>
      </c>
      <c r="X25" s="174"/>
      <c r="Y25" s="175"/>
      <c r="Z25" s="14" t="s">
        <v>153</v>
      </c>
      <c r="AA25" s="15">
        <v>11647</v>
      </c>
      <c r="AB25" s="13">
        <v>49.46</v>
      </c>
      <c r="AD25" s="174"/>
      <c r="AE25" s="175"/>
      <c r="AF25" s="14" t="s">
        <v>153</v>
      </c>
      <c r="AG25" s="15">
        <v>44264</v>
      </c>
      <c r="AH25" s="13">
        <v>97.31</v>
      </c>
      <c r="AJ25" s="174"/>
      <c r="AK25" s="175"/>
      <c r="AL25" s="14" t="s">
        <v>153</v>
      </c>
      <c r="AM25" s="15">
        <v>9830</v>
      </c>
      <c r="AN25" s="13">
        <v>97.33</v>
      </c>
      <c r="AP25" s="174"/>
      <c r="AQ25" s="175"/>
      <c r="AR25" s="14" t="s">
        <v>153</v>
      </c>
      <c r="AS25" s="15">
        <v>49089</v>
      </c>
      <c r="AT25" s="13">
        <v>99.68</v>
      </c>
      <c r="AV25" s="174"/>
      <c r="AW25" s="175"/>
      <c r="AX25" s="14" t="s">
        <v>153</v>
      </c>
      <c r="AY25" s="15">
        <v>25328</v>
      </c>
      <c r="AZ25" s="13">
        <v>95.79</v>
      </c>
      <c r="BB25" s="174"/>
      <c r="BC25" s="175"/>
      <c r="BD25" s="14" t="s">
        <v>153</v>
      </c>
      <c r="BE25" s="15">
        <v>25940</v>
      </c>
      <c r="BF25" s="13">
        <v>92.61</v>
      </c>
      <c r="BH25" s="174"/>
      <c r="BI25" s="175"/>
      <c r="BJ25" s="14" t="s">
        <v>153</v>
      </c>
      <c r="BK25" s="15">
        <v>23666</v>
      </c>
      <c r="BL25" s="13">
        <v>95.13</v>
      </c>
    </row>
    <row r="26" spans="2:64" ht="20" x14ac:dyDescent="0.35">
      <c r="B26" s="33" t="s">
        <v>49</v>
      </c>
      <c r="C26" s="22" t="s">
        <v>50</v>
      </c>
      <c r="D26" s="57">
        <f>_xlfn.XLOOKUP($B26,'(3) SKT 51%'!$B$5:$B$40,'(3) SKT 51%'!$D$5:$D$40)</f>
        <v>19608</v>
      </c>
      <c r="E26" s="39">
        <v>29</v>
      </c>
      <c r="F26" s="39">
        <v>66</v>
      </c>
      <c r="G26" s="39">
        <v>92</v>
      </c>
      <c r="H26" s="39">
        <v>10</v>
      </c>
      <c r="I26" s="39">
        <v>0</v>
      </c>
      <c r="J26" s="39">
        <v>0</v>
      </c>
      <c r="K26" s="39">
        <v>0</v>
      </c>
      <c r="L26" s="39">
        <v>0</v>
      </c>
      <c r="M26" s="39">
        <v>19411</v>
      </c>
      <c r="N26" s="39">
        <f t="shared" si="0"/>
        <v>158</v>
      </c>
      <c r="O26" s="48">
        <f t="shared" si="1"/>
        <v>8.0579355365157073E-3</v>
      </c>
      <c r="P26" s="54">
        <f t="shared" si="2"/>
        <v>31</v>
      </c>
      <c r="R26" s="173"/>
      <c r="S26" s="173"/>
      <c r="T26" s="16" t="s">
        <v>154</v>
      </c>
      <c r="U26" s="17">
        <v>12880</v>
      </c>
      <c r="V26" s="18"/>
      <c r="X26" s="173"/>
      <c r="Y26" s="173"/>
      <c r="Z26" s="16" t="s">
        <v>154</v>
      </c>
      <c r="AA26" s="17">
        <v>23548</v>
      </c>
      <c r="AB26" s="18"/>
      <c r="AD26" s="173"/>
      <c r="AE26" s="173"/>
      <c r="AF26" s="16" t="s">
        <v>154</v>
      </c>
      <c r="AG26" s="17">
        <v>45487</v>
      </c>
      <c r="AH26" s="18"/>
      <c r="AJ26" s="173"/>
      <c r="AK26" s="173"/>
      <c r="AL26" s="16" t="s">
        <v>154</v>
      </c>
      <c r="AM26" s="17">
        <v>10100</v>
      </c>
      <c r="AN26" s="18"/>
      <c r="AP26" s="173"/>
      <c r="AQ26" s="173"/>
      <c r="AR26" s="16" t="s">
        <v>154</v>
      </c>
      <c r="AS26" s="17">
        <v>49248</v>
      </c>
      <c r="AT26" s="18"/>
      <c r="AV26" s="173"/>
      <c r="AW26" s="173"/>
      <c r="AX26" s="16" t="s">
        <v>154</v>
      </c>
      <c r="AY26" s="17">
        <v>26440</v>
      </c>
      <c r="AZ26" s="18"/>
      <c r="BB26" s="173"/>
      <c r="BC26" s="173"/>
      <c r="BD26" s="16" t="s">
        <v>154</v>
      </c>
      <c r="BE26" s="17">
        <v>28010</v>
      </c>
      <c r="BF26" s="18"/>
      <c r="BH26" s="173"/>
      <c r="BI26" s="173"/>
      <c r="BJ26" s="16" t="s">
        <v>154</v>
      </c>
      <c r="BK26" s="17">
        <v>24878</v>
      </c>
      <c r="BL26" s="18"/>
    </row>
    <row r="27" spans="2:64" ht="20" x14ac:dyDescent="0.35">
      <c r="B27" s="33" t="s">
        <v>51</v>
      </c>
      <c r="C27" s="22" t="s">
        <v>52</v>
      </c>
      <c r="D27" s="57">
        <f>_xlfn.XLOOKUP($B27,'(3) SKT 51%'!$B$5:$B$40,'(3) SKT 51%'!$D$5:$D$40)</f>
        <v>30316</v>
      </c>
      <c r="E27" s="39">
        <v>3</v>
      </c>
      <c r="F27" s="39">
        <v>34</v>
      </c>
      <c r="G27" s="39">
        <v>32</v>
      </c>
      <c r="H27" s="39">
        <v>1</v>
      </c>
      <c r="I27" s="39">
        <v>0</v>
      </c>
      <c r="J27" s="39">
        <v>0</v>
      </c>
      <c r="K27" s="39">
        <v>0</v>
      </c>
      <c r="L27" s="39">
        <v>0</v>
      </c>
      <c r="M27" s="39">
        <v>30246</v>
      </c>
      <c r="N27" s="39">
        <f t="shared" si="0"/>
        <v>66</v>
      </c>
      <c r="O27" s="48">
        <f t="shared" si="1"/>
        <v>2.1770682148040637E-3</v>
      </c>
      <c r="P27" s="54">
        <f t="shared" si="2"/>
        <v>35</v>
      </c>
      <c r="R27" s="174">
        <v>3</v>
      </c>
      <c r="S27" s="175" t="s">
        <v>88</v>
      </c>
      <c r="T27" s="14" t="s">
        <v>145</v>
      </c>
      <c r="U27" s="15">
        <v>3153</v>
      </c>
      <c r="V27" s="13">
        <v>16</v>
      </c>
      <c r="X27" s="174">
        <v>3</v>
      </c>
      <c r="Y27" s="175" t="s">
        <v>93</v>
      </c>
      <c r="Z27" s="14" t="s">
        <v>145</v>
      </c>
      <c r="AA27" s="15">
        <v>1036</v>
      </c>
      <c r="AB27" s="13">
        <v>6.26</v>
      </c>
      <c r="AD27" s="174">
        <v>3</v>
      </c>
      <c r="AE27" s="175" t="s">
        <v>98</v>
      </c>
      <c r="AF27" s="14" t="s">
        <v>145</v>
      </c>
      <c r="AG27" s="13">
        <v>1</v>
      </c>
      <c r="AH27" s="13">
        <v>0</v>
      </c>
      <c r="AJ27" s="174">
        <v>3</v>
      </c>
      <c r="AK27" s="175" t="s">
        <v>105</v>
      </c>
      <c r="AL27" s="14" t="s">
        <v>145</v>
      </c>
      <c r="AM27" s="13">
        <v>22</v>
      </c>
      <c r="AN27" s="13">
        <v>0.22</v>
      </c>
      <c r="AP27" s="174">
        <v>3</v>
      </c>
      <c r="AQ27" s="175" t="s">
        <v>111</v>
      </c>
      <c r="AR27" s="14" t="s">
        <v>145</v>
      </c>
      <c r="AS27" s="13">
        <v>29</v>
      </c>
      <c r="AT27" s="13">
        <v>0.15</v>
      </c>
      <c r="AV27" s="174">
        <v>3</v>
      </c>
      <c r="AW27" s="175" t="s">
        <v>117</v>
      </c>
      <c r="AX27" s="14" t="s">
        <v>145</v>
      </c>
      <c r="AY27" s="13">
        <v>163</v>
      </c>
      <c r="AZ27" s="13">
        <v>0.47</v>
      </c>
      <c r="BB27" s="174">
        <v>3</v>
      </c>
      <c r="BC27" s="175" t="s">
        <v>122</v>
      </c>
      <c r="BD27" s="14" t="s">
        <v>145</v>
      </c>
      <c r="BE27" s="15">
        <v>9805</v>
      </c>
      <c r="BF27" s="13">
        <v>35.11</v>
      </c>
      <c r="BH27" s="174">
        <v>3</v>
      </c>
      <c r="BI27" s="175" t="s">
        <v>128</v>
      </c>
      <c r="BJ27" s="14" t="s">
        <v>145</v>
      </c>
      <c r="BK27" s="13">
        <v>120</v>
      </c>
      <c r="BL27" s="13">
        <v>0.43</v>
      </c>
    </row>
    <row r="28" spans="2:64" x14ac:dyDescent="0.35">
      <c r="B28" s="33" t="s">
        <v>53</v>
      </c>
      <c r="C28" s="22" t="s">
        <v>54</v>
      </c>
      <c r="D28" s="57">
        <f>_xlfn.XLOOKUP($B28,'(3) SKT 51%'!$B$5:$B$40,'(3) SKT 51%'!$D$5:$D$40)</f>
        <v>32899</v>
      </c>
      <c r="E28" s="39">
        <v>9</v>
      </c>
      <c r="F28" s="39">
        <v>56</v>
      </c>
      <c r="G28" s="39">
        <v>74</v>
      </c>
      <c r="H28" s="39">
        <v>12</v>
      </c>
      <c r="I28" s="39">
        <v>0</v>
      </c>
      <c r="J28" s="39">
        <v>0</v>
      </c>
      <c r="K28" s="39">
        <v>0</v>
      </c>
      <c r="L28" s="39">
        <v>0</v>
      </c>
      <c r="M28" s="39">
        <v>32748</v>
      </c>
      <c r="N28" s="39">
        <f t="shared" si="0"/>
        <v>130</v>
      </c>
      <c r="O28" s="48">
        <f t="shared" si="1"/>
        <v>3.9514878871698229E-3</v>
      </c>
      <c r="P28" s="54">
        <f t="shared" si="2"/>
        <v>33</v>
      </c>
      <c r="R28" s="174"/>
      <c r="S28" s="175"/>
      <c r="T28" s="14" t="s">
        <v>146</v>
      </c>
      <c r="U28" s="13">
        <v>505</v>
      </c>
      <c r="V28" s="13">
        <v>2.56</v>
      </c>
      <c r="X28" s="174"/>
      <c r="Y28" s="175"/>
      <c r="Z28" s="14" t="s">
        <v>146</v>
      </c>
      <c r="AA28" s="13">
        <v>93</v>
      </c>
      <c r="AB28" s="13">
        <v>0.56000000000000005</v>
      </c>
      <c r="AD28" s="174"/>
      <c r="AE28" s="175"/>
      <c r="AF28" s="14" t="s">
        <v>146</v>
      </c>
      <c r="AG28" s="13">
        <v>8</v>
      </c>
      <c r="AH28" s="13">
        <v>0.03</v>
      </c>
      <c r="AJ28" s="174"/>
      <c r="AK28" s="175"/>
      <c r="AL28" s="14" t="s">
        <v>146</v>
      </c>
      <c r="AM28" s="13">
        <v>208</v>
      </c>
      <c r="AN28" s="13">
        <v>2.1</v>
      </c>
      <c r="AP28" s="174"/>
      <c r="AQ28" s="175"/>
      <c r="AR28" s="14" t="s">
        <v>146</v>
      </c>
      <c r="AS28" s="13">
        <v>66</v>
      </c>
      <c r="AT28" s="13">
        <v>0.34</v>
      </c>
      <c r="AV28" s="174"/>
      <c r="AW28" s="175"/>
      <c r="AX28" s="14" t="s">
        <v>146</v>
      </c>
      <c r="AY28" s="13">
        <v>211</v>
      </c>
      <c r="AZ28" s="13">
        <v>0.61</v>
      </c>
      <c r="BB28" s="174"/>
      <c r="BC28" s="175"/>
      <c r="BD28" s="14" t="s">
        <v>146</v>
      </c>
      <c r="BE28" s="13">
        <v>405</v>
      </c>
      <c r="BF28" s="13">
        <v>1.45</v>
      </c>
      <c r="BH28" s="174"/>
      <c r="BI28" s="175"/>
      <c r="BJ28" s="14" t="s">
        <v>146</v>
      </c>
      <c r="BK28" s="13">
        <v>162</v>
      </c>
      <c r="BL28" s="13">
        <v>0.57999999999999996</v>
      </c>
    </row>
    <row r="29" spans="2:64" ht="30" x14ac:dyDescent="0.35">
      <c r="B29" s="34" t="s">
        <v>55</v>
      </c>
      <c r="C29" s="26" t="s">
        <v>56</v>
      </c>
      <c r="D29" s="58">
        <f>_xlfn.XLOOKUP($B29,'(3) SKT 51%'!$B$5:$B$40,'(3) SKT 51%'!$D$5:$D$40)</f>
        <v>64582</v>
      </c>
      <c r="E29" s="40">
        <v>561</v>
      </c>
      <c r="F29" s="40">
        <v>1089</v>
      </c>
      <c r="G29" s="40">
        <v>2179</v>
      </c>
      <c r="H29" s="40">
        <v>2393</v>
      </c>
      <c r="I29" s="40">
        <v>26</v>
      </c>
      <c r="J29" s="40">
        <v>23</v>
      </c>
      <c r="K29" s="40">
        <v>0</v>
      </c>
      <c r="L29" s="40">
        <v>0</v>
      </c>
      <c r="M29" s="40">
        <v>58311</v>
      </c>
      <c r="N29" s="40">
        <f t="shared" si="0"/>
        <v>3268</v>
      </c>
      <c r="O29" s="49">
        <f t="shared" si="1"/>
        <v>5.060233501594872E-2</v>
      </c>
      <c r="P29" s="55">
        <f t="shared" si="2"/>
        <v>12</v>
      </c>
      <c r="R29" s="174"/>
      <c r="S29" s="175"/>
      <c r="T29" s="14" t="s">
        <v>147</v>
      </c>
      <c r="U29" s="15">
        <v>4375</v>
      </c>
      <c r="V29" s="13">
        <v>22.2</v>
      </c>
      <c r="X29" s="174"/>
      <c r="Y29" s="175"/>
      <c r="Z29" s="14" t="s">
        <v>147</v>
      </c>
      <c r="AA29" s="13">
        <v>975</v>
      </c>
      <c r="AB29" s="13">
        <v>5.9</v>
      </c>
      <c r="AD29" s="174"/>
      <c r="AE29" s="175"/>
      <c r="AF29" s="14" t="s">
        <v>147</v>
      </c>
      <c r="AG29" s="13">
        <v>23</v>
      </c>
      <c r="AH29" s="13">
        <v>0.1</v>
      </c>
      <c r="AJ29" s="174"/>
      <c r="AK29" s="175"/>
      <c r="AL29" s="14" t="s">
        <v>147</v>
      </c>
      <c r="AM29" s="13">
        <v>54</v>
      </c>
      <c r="AN29" s="13">
        <v>0.54</v>
      </c>
      <c r="AP29" s="174"/>
      <c r="AQ29" s="175"/>
      <c r="AR29" s="14" t="s">
        <v>147</v>
      </c>
      <c r="AS29" s="13">
        <v>92</v>
      </c>
      <c r="AT29" s="13">
        <v>0.47</v>
      </c>
      <c r="AV29" s="174"/>
      <c r="AW29" s="175"/>
      <c r="AX29" s="14" t="s">
        <v>147</v>
      </c>
      <c r="AY29" s="13">
        <v>208</v>
      </c>
      <c r="AZ29" s="13">
        <v>0.6</v>
      </c>
      <c r="BB29" s="174"/>
      <c r="BC29" s="175"/>
      <c r="BD29" s="14" t="s">
        <v>147</v>
      </c>
      <c r="BE29" s="13">
        <v>268</v>
      </c>
      <c r="BF29" s="13">
        <v>0.96</v>
      </c>
      <c r="BH29" s="174"/>
      <c r="BI29" s="175"/>
      <c r="BJ29" s="14" t="s">
        <v>147</v>
      </c>
      <c r="BK29" s="13">
        <v>76</v>
      </c>
      <c r="BL29" s="13">
        <v>0.27</v>
      </c>
    </row>
    <row r="30" spans="2:64" ht="20" x14ac:dyDescent="0.35">
      <c r="B30" s="33" t="s">
        <v>57</v>
      </c>
      <c r="C30" s="22" t="s">
        <v>58</v>
      </c>
      <c r="D30" s="57">
        <f>_xlfn.XLOOKUP($B30,'(3) SKT 51%'!$B$5:$B$40,'(3) SKT 51%'!$D$5:$D$40)</f>
        <v>26440</v>
      </c>
      <c r="E30" s="39">
        <v>30</v>
      </c>
      <c r="F30" s="39">
        <v>382</v>
      </c>
      <c r="G30" s="39">
        <v>151</v>
      </c>
      <c r="H30" s="39">
        <v>548</v>
      </c>
      <c r="I30" s="39">
        <v>0</v>
      </c>
      <c r="J30" s="39">
        <v>0</v>
      </c>
      <c r="K30" s="39">
        <v>0</v>
      </c>
      <c r="L30" s="39">
        <v>1</v>
      </c>
      <c r="M30" s="39">
        <v>25328</v>
      </c>
      <c r="N30" s="39">
        <f t="shared" si="0"/>
        <v>534</v>
      </c>
      <c r="O30" s="48">
        <f t="shared" si="1"/>
        <v>2.0196671709531013E-2</v>
      </c>
      <c r="P30" s="54">
        <f t="shared" si="2"/>
        <v>23</v>
      </c>
      <c r="R30" s="174"/>
      <c r="S30" s="175"/>
      <c r="T30" s="14" t="s">
        <v>148</v>
      </c>
      <c r="U30" s="15">
        <v>2393</v>
      </c>
      <c r="V30" s="13">
        <v>12.14</v>
      </c>
      <c r="X30" s="174"/>
      <c r="Y30" s="175"/>
      <c r="Z30" s="14" t="s">
        <v>148</v>
      </c>
      <c r="AA30" s="15">
        <v>2536</v>
      </c>
      <c r="AB30" s="13">
        <v>15.33</v>
      </c>
      <c r="AD30" s="174"/>
      <c r="AE30" s="175"/>
      <c r="AF30" s="14" t="s">
        <v>148</v>
      </c>
      <c r="AG30" s="13">
        <v>1</v>
      </c>
      <c r="AH30" s="13">
        <v>0</v>
      </c>
      <c r="AJ30" s="174"/>
      <c r="AK30" s="175"/>
      <c r="AL30" s="14" t="s">
        <v>148</v>
      </c>
      <c r="AM30" s="13">
        <v>43</v>
      </c>
      <c r="AN30" s="13">
        <v>0.43</v>
      </c>
      <c r="AP30" s="174"/>
      <c r="AQ30" s="175"/>
      <c r="AR30" s="14" t="s">
        <v>148</v>
      </c>
      <c r="AS30" s="13">
        <v>10</v>
      </c>
      <c r="AT30" s="13">
        <v>0.05</v>
      </c>
      <c r="AV30" s="174"/>
      <c r="AW30" s="175"/>
      <c r="AX30" s="14" t="s">
        <v>148</v>
      </c>
      <c r="AY30" s="13">
        <v>88</v>
      </c>
      <c r="AZ30" s="13">
        <v>0.25</v>
      </c>
      <c r="BB30" s="174"/>
      <c r="BC30" s="175"/>
      <c r="BD30" s="14" t="s">
        <v>148</v>
      </c>
      <c r="BE30" s="13">
        <v>526</v>
      </c>
      <c r="BF30" s="13">
        <v>1.88</v>
      </c>
      <c r="BH30" s="174"/>
      <c r="BI30" s="175"/>
      <c r="BJ30" s="14" t="s">
        <v>148</v>
      </c>
      <c r="BK30" s="13">
        <v>229</v>
      </c>
      <c r="BL30" s="13">
        <v>0.82</v>
      </c>
    </row>
    <row r="31" spans="2:64" ht="30" x14ac:dyDescent="0.35">
      <c r="B31" s="34" t="s">
        <v>59</v>
      </c>
      <c r="C31" s="26" t="s">
        <v>60</v>
      </c>
      <c r="D31" s="58">
        <f>_xlfn.XLOOKUP($B31,'(3) SKT 51%'!$B$5:$B$40,'(3) SKT 51%'!$D$5:$D$40)</f>
        <v>34636</v>
      </c>
      <c r="E31" s="40">
        <v>163</v>
      </c>
      <c r="F31" s="40">
        <v>211</v>
      </c>
      <c r="G31" s="40">
        <v>208</v>
      </c>
      <c r="H31" s="40">
        <v>88</v>
      </c>
      <c r="I31" s="40">
        <v>0</v>
      </c>
      <c r="J31" s="40">
        <v>27</v>
      </c>
      <c r="K31" s="40">
        <v>0</v>
      </c>
      <c r="L31" s="40">
        <v>0</v>
      </c>
      <c r="M31" s="40">
        <v>33939</v>
      </c>
      <c r="N31" s="40">
        <f t="shared" si="0"/>
        <v>419</v>
      </c>
      <c r="O31" s="49">
        <f t="shared" si="1"/>
        <v>1.2097239866035338E-2</v>
      </c>
      <c r="P31" s="55">
        <f t="shared" si="2"/>
        <v>28</v>
      </c>
      <c r="R31" s="174"/>
      <c r="S31" s="175"/>
      <c r="T31" s="14" t="s">
        <v>149</v>
      </c>
      <c r="U31" s="13">
        <v>2</v>
      </c>
      <c r="V31" s="13">
        <v>0.01</v>
      </c>
      <c r="X31" s="174"/>
      <c r="Y31" s="175"/>
      <c r="Z31" s="14" t="s">
        <v>149</v>
      </c>
      <c r="AA31" s="13">
        <v>0</v>
      </c>
      <c r="AB31" s="13">
        <v>0</v>
      </c>
      <c r="AD31" s="174"/>
      <c r="AE31" s="175"/>
      <c r="AF31" s="14" t="s">
        <v>149</v>
      </c>
      <c r="AG31" s="13">
        <v>0</v>
      </c>
      <c r="AH31" s="13">
        <v>0</v>
      </c>
      <c r="AJ31" s="174"/>
      <c r="AK31" s="175"/>
      <c r="AL31" s="14" t="s">
        <v>149</v>
      </c>
      <c r="AM31" s="13">
        <v>2</v>
      </c>
      <c r="AN31" s="13">
        <v>0.02</v>
      </c>
      <c r="AP31" s="174"/>
      <c r="AQ31" s="175"/>
      <c r="AR31" s="14" t="s">
        <v>149</v>
      </c>
      <c r="AS31" s="13">
        <v>0</v>
      </c>
      <c r="AT31" s="13">
        <v>0</v>
      </c>
      <c r="AV31" s="174"/>
      <c r="AW31" s="175"/>
      <c r="AX31" s="14" t="s">
        <v>149</v>
      </c>
      <c r="AY31" s="13">
        <v>0</v>
      </c>
      <c r="AZ31" s="13">
        <v>0</v>
      </c>
      <c r="BB31" s="174"/>
      <c r="BC31" s="175"/>
      <c r="BD31" s="14" t="s">
        <v>149</v>
      </c>
      <c r="BE31" s="13">
        <v>31</v>
      </c>
      <c r="BF31" s="13">
        <v>0.11</v>
      </c>
      <c r="BH31" s="174"/>
      <c r="BI31" s="175"/>
      <c r="BJ31" s="14" t="s">
        <v>149</v>
      </c>
      <c r="BK31" s="13">
        <v>5</v>
      </c>
      <c r="BL31" s="13">
        <v>0.02</v>
      </c>
    </row>
    <row r="32" spans="2:64" ht="20" x14ac:dyDescent="0.35">
      <c r="B32" s="33" t="s">
        <v>61</v>
      </c>
      <c r="C32" s="22" t="s">
        <v>62</v>
      </c>
      <c r="D32" s="57">
        <f>_xlfn.XLOOKUP($B32,'(3) SKT 51%'!$B$5:$B$40,'(3) SKT 51%'!$D$5:$D$40)</f>
        <v>16730</v>
      </c>
      <c r="E32" s="39">
        <v>92</v>
      </c>
      <c r="F32" s="39">
        <v>247</v>
      </c>
      <c r="G32" s="39">
        <v>187</v>
      </c>
      <c r="H32" s="39">
        <v>566</v>
      </c>
      <c r="I32" s="39">
        <v>0</v>
      </c>
      <c r="J32" s="39">
        <v>17</v>
      </c>
      <c r="K32" s="39">
        <v>4</v>
      </c>
      <c r="L32" s="39">
        <v>1</v>
      </c>
      <c r="M32" s="39">
        <v>15616</v>
      </c>
      <c r="N32" s="39">
        <f t="shared" si="0"/>
        <v>435</v>
      </c>
      <c r="O32" s="48">
        <f t="shared" si="1"/>
        <v>2.6001195457262403E-2</v>
      </c>
      <c r="P32" s="54">
        <f t="shared" si="2"/>
        <v>19</v>
      </c>
      <c r="R32" s="174"/>
      <c r="S32" s="175"/>
      <c r="T32" s="14" t="s">
        <v>150</v>
      </c>
      <c r="U32" s="13">
        <v>1</v>
      </c>
      <c r="V32" s="13">
        <v>0.01</v>
      </c>
      <c r="X32" s="174"/>
      <c r="Y32" s="175"/>
      <c r="Z32" s="14" t="s">
        <v>150</v>
      </c>
      <c r="AA32" s="13">
        <v>0</v>
      </c>
      <c r="AB32" s="13">
        <v>0</v>
      </c>
      <c r="AD32" s="174"/>
      <c r="AE32" s="175"/>
      <c r="AF32" s="14" t="s">
        <v>150</v>
      </c>
      <c r="AG32" s="13">
        <v>0</v>
      </c>
      <c r="AH32" s="13">
        <v>0</v>
      </c>
      <c r="AJ32" s="174"/>
      <c r="AK32" s="175"/>
      <c r="AL32" s="14" t="s">
        <v>150</v>
      </c>
      <c r="AM32" s="13">
        <v>4</v>
      </c>
      <c r="AN32" s="13">
        <v>0.04</v>
      </c>
      <c r="AP32" s="174"/>
      <c r="AQ32" s="175"/>
      <c r="AR32" s="14" t="s">
        <v>150</v>
      </c>
      <c r="AS32" s="13">
        <v>0</v>
      </c>
      <c r="AT32" s="13">
        <v>0</v>
      </c>
      <c r="AV32" s="174"/>
      <c r="AW32" s="175"/>
      <c r="AX32" s="14" t="s">
        <v>150</v>
      </c>
      <c r="AY32" s="13">
        <v>27</v>
      </c>
      <c r="AZ32" s="13">
        <v>0.08</v>
      </c>
      <c r="BB32" s="174"/>
      <c r="BC32" s="175"/>
      <c r="BD32" s="14" t="s">
        <v>150</v>
      </c>
      <c r="BE32" s="13">
        <v>3</v>
      </c>
      <c r="BF32" s="13">
        <v>0.01</v>
      </c>
      <c r="BH32" s="174"/>
      <c r="BI32" s="175"/>
      <c r="BJ32" s="14" t="s">
        <v>150</v>
      </c>
      <c r="BK32" s="13">
        <v>6</v>
      </c>
      <c r="BL32" s="13">
        <v>0.02</v>
      </c>
    </row>
    <row r="33" spans="2:64" x14ac:dyDescent="0.35">
      <c r="B33" s="34" t="s">
        <v>63</v>
      </c>
      <c r="C33" s="26" t="s">
        <v>64</v>
      </c>
      <c r="D33" s="58">
        <f>_xlfn.XLOOKUP($B33,'(3) SKT 51%'!$B$5:$B$40,'(3) SKT 51%'!$D$5:$D$40)</f>
        <v>15141</v>
      </c>
      <c r="E33" s="40">
        <v>584</v>
      </c>
      <c r="F33" s="40">
        <v>72</v>
      </c>
      <c r="G33" s="40">
        <v>31</v>
      </c>
      <c r="H33" s="40">
        <v>465</v>
      </c>
      <c r="I33" s="40">
        <v>1</v>
      </c>
      <c r="J33" s="40">
        <v>3</v>
      </c>
      <c r="K33" s="40">
        <v>3</v>
      </c>
      <c r="L33" s="40">
        <v>0</v>
      </c>
      <c r="M33" s="40">
        <v>13982</v>
      </c>
      <c r="N33" s="40">
        <f t="shared" si="0"/>
        <v>103</v>
      </c>
      <c r="O33" s="49">
        <f t="shared" si="1"/>
        <v>6.8027210884353739E-3</v>
      </c>
      <c r="P33" s="55">
        <f t="shared" si="2"/>
        <v>32</v>
      </c>
      <c r="R33" s="174"/>
      <c r="S33" s="175"/>
      <c r="T33" s="14" t="s">
        <v>151</v>
      </c>
      <c r="U33" s="13">
        <v>1</v>
      </c>
      <c r="V33" s="13">
        <v>0.01</v>
      </c>
      <c r="X33" s="174"/>
      <c r="Y33" s="175"/>
      <c r="Z33" s="14" t="s">
        <v>151</v>
      </c>
      <c r="AA33" s="13">
        <v>0</v>
      </c>
      <c r="AB33" s="13">
        <v>0</v>
      </c>
      <c r="AD33" s="174"/>
      <c r="AE33" s="175"/>
      <c r="AF33" s="14" t="s">
        <v>151</v>
      </c>
      <c r="AG33" s="13">
        <v>0</v>
      </c>
      <c r="AH33" s="13">
        <v>0</v>
      </c>
      <c r="AJ33" s="174"/>
      <c r="AK33" s="175"/>
      <c r="AL33" s="14" t="s">
        <v>151</v>
      </c>
      <c r="AM33" s="13">
        <v>1</v>
      </c>
      <c r="AN33" s="13">
        <v>0.01</v>
      </c>
      <c r="AP33" s="174"/>
      <c r="AQ33" s="175"/>
      <c r="AR33" s="14" t="s">
        <v>151</v>
      </c>
      <c r="AS33" s="13">
        <v>0</v>
      </c>
      <c r="AT33" s="13">
        <v>0</v>
      </c>
      <c r="AV33" s="174"/>
      <c r="AW33" s="175"/>
      <c r="AX33" s="14" t="s">
        <v>151</v>
      </c>
      <c r="AY33" s="13">
        <v>0</v>
      </c>
      <c r="AZ33" s="13">
        <v>0</v>
      </c>
      <c r="BB33" s="174"/>
      <c r="BC33" s="175"/>
      <c r="BD33" s="14" t="s">
        <v>151</v>
      </c>
      <c r="BE33" s="13">
        <v>2</v>
      </c>
      <c r="BF33" s="13">
        <v>0.01</v>
      </c>
      <c r="BH33" s="174"/>
      <c r="BI33" s="175"/>
      <c r="BJ33" s="14" t="s">
        <v>151</v>
      </c>
      <c r="BK33" s="13">
        <v>1</v>
      </c>
      <c r="BL33" s="13">
        <v>0</v>
      </c>
    </row>
    <row r="34" spans="2:64" ht="30" x14ac:dyDescent="0.35">
      <c r="B34" s="34" t="s">
        <v>65</v>
      </c>
      <c r="C34" s="26" t="s">
        <v>66</v>
      </c>
      <c r="D34" s="58">
        <f>_xlfn.XLOOKUP($B34,'(3) SKT 51%'!$B$5:$B$40,'(3) SKT 51%'!$D$5:$D$40)</f>
        <v>28010</v>
      </c>
      <c r="E34" s="40">
        <v>1242</v>
      </c>
      <c r="F34" s="40">
        <v>172</v>
      </c>
      <c r="G34" s="40">
        <v>314</v>
      </c>
      <c r="H34" s="40">
        <v>210</v>
      </c>
      <c r="I34" s="40">
        <v>115</v>
      </c>
      <c r="J34" s="40">
        <v>17</v>
      </c>
      <c r="K34" s="40">
        <v>0</v>
      </c>
      <c r="L34" s="40">
        <v>0</v>
      </c>
      <c r="M34" s="40">
        <v>25940</v>
      </c>
      <c r="N34" s="40">
        <f t="shared" si="0"/>
        <v>486</v>
      </c>
      <c r="O34" s="49">
        <f t="shared" si="1"/>
        <v>1.7350946090681899E-2</v>
      </c>
      <c r="P34" s="55">
        <f t="shared" si="2"/>
        <v>26</v>
      </c>
      <c r="R34" s="174"/>
      <c r="S34" s="175"/>
      <c r="T34" s="14" t="s">
        <v>152</v>
      </c>
      <c r="U34" s="13">
        <v>0</v>
      </c>
      <c r="V34" s="13">
        <v>0</v>
      </c>
      <c r="X34" s="174"/>
      <c r="Y34" s="175"/>
      <c r="Z34" s="14" t="s">
        <v>152</v>
      </c>
      <c r="AA34" s="13">
        <v>0</v>
      </c>
      <c r="AB34" s="13">
        <v>0</v>
      </c>
      <c r="AD34" s="174"/>
      <c r="AE34" s="175"/>
      <c r="AF34" s="14" t="s">
        <v>152</v>
      </c>
      <c r="AG34" s="13">
        <v>0</v>
      </c>
      <c r="AH34" s="13">
        <v>0</v>
      </c>
      <c r="AJ34" s="174"/>
      <c r="AK34" s="175"/>
      <c r="AL34" s="14" t="s">
        <v>152</v>
      </c>
      <c r="AM34" s="13">
        <v>1</v>
      </c>
      <c r="AN34" s="13">
        <v>0.01</v>
      </c>
      <c r="AP34" s="174"/>
      <c r="AQ34" s="175"/>
      <c r="AR34" s="14" t="s">
        <v>152</v>
      </c>
      <c r="AS34" s="13">
        <v>0</v>
      </c>
      <c r="AT34" s="13">
        <v>0</v>
      </c>
      <c r="AV34" s="174"/>
      <c r="AW34" s="175"/>
      <c r="AX34" s="14" t="s">
        <v>152</v>
      </c>
      <c r="AY34" s="13">
        <v>0</v>
      </c>
      <c r="AZ34" s="13">
        <v>0</v>
      </c>
      <c r="BB34" s="174"/>
      <c r="BC34" s="175"/>
      <c r="BD34" s="14" t="s">
        <v>152</v>
      </c>
      <c r="BE34" s="13">
        <v>4</v>
      </c>
      <c r="BF34" s="13">
        <v>0.01</v>
      </c>
      <c r="BH34" s="174"/>
      <c r="BI34" s="175"/>
      <c r="BJ34" s="14" t="s">
        <v>152</v>
      </c>
      <c r="BK34" s="13">
        <v>1</v>
      </c>
      <c r="BL34" s="13">
        <v>0</v>
      </c>
    </row>
    <row r="35" spans="2:64" ht="20" x14ac:dyDescent="0.35">
      <c r="B35" s="34" t="s">
        <v>67</v>
      </c>
      <c r="C35" s="26" t="s">
        <v>68</v>
      </c>
      <c r="D35" s="58">
        <f>_xlfn.XLOOKUP($B35,'(3) SKT 51%'!$B$5:$B$40,'(3) SKT 51%'!$D$5:$D$40)</f>
        <v>27926</v>
      </c>
      <c r="E35" s="40">
        <v>9805</v>
      </c>
      <c r="F35" s="40">
        <v>405</v>
      </c>
      <c r="G35" s="40">
        <v>268</v>
      </c>
      <c r="H35" s="40">
        <v>526</v>
      </c>
      <c r="I35" s="40">
        <v>31</v>
      </c>
      <c r="J35" s="40">
        <v>3</v>
      </c>
      <c r="K35" s="40">
        <v>2</v>
      </c>
      <c r="L35" s="40">
        <v>4</v>
      </c>
      <c r="M35" s="40">
        <v>16882</v>
      </c>
      <c r="N35" s="40">
        <f t="shared" si="0"/>
        <v>677</v>
      </c>
      <c r="O35" s="49">
        <f t="shared" si="1"/>
        <v>2.4242641266203537E-2</v>
      </c>
      <c r="P35" s="55">
        <f t="shared" si="2"/>
        <v>20</v>
      </c>
      <c r="R35" s="174"/>
      <c r="S35" s="175"/>
      <c r="T35" s="14" t="s">
        <v>153</v>
      </c>
      <c r="U35" s="15">
        <v>9281</v>
      </c>
      <c r="V35" s="13">
        <v>47.09</v>
      </c>
      <c r="X35" s="174"/>
      <c r="Y35" s="175"/>
      <c r="Z35" s="14" t="s">
        <v>153</v>
      </c>
      <c r="AA35" s="15">
        <v>11899</v>
      </c>
      <c r="AB35" s="13">
        <v>71.95</v>
      </c>
      <c r="AD35" s="174"/>
      <c r="AE35" s="175"/>
      <c r="AF35" s="14" t="s">
        <v>153</v>
      </c>
      <c r="AG35" s="15">
        <v>23108</v>
      </c>
      <c r="AH35" s="13">
        <v>99.86</v>
      </c>
      <c r="AJ35" s="174"/>
      <c r="AK35" s="175"/>
      <c r="AL35" s="14" t="s">
        <v>153</v>
      </c>
      <c r="AM35" s="15">
        <v>9579</v>
      </c>
      <c r="AN35" s="13">
        <v>96.62</v>
      </c>
      <c r="AP35" s="174"/>
      <c r="AQ35" s="175"/>
      <c r="AR35" s="14" t="s">
        <v>153</v>
      </c>
      <c r="AS35" s="15">
        <v>19411</v>
      </c>
      <c r="AT35" s="13">
        <v>99</v>
      </c>
      <c r="AV35" s="174"/>
      <c r="AW35" s="175"/>
      <c r="AX35" s="14" t="s">
        <v>153</v>
      </c>
      <c r="AY35" s="15">
        <v>33939</v>
      </c>
      <c r="AZ35" s="13">
        <v>97.99</v>
      </c>
      <c r="BB35" s="174"/>
      <c r="BC35" s="175"/>
      <c r="BD35" s="14" t="s">
        <v>153</v>
      </c>
      <c r="BE35" s="15">
        <v>16882</v>
      </c>
      <c r="BF35" s="13">
        <v>60.45</v>
      </c>
      <c r="BH35" s="174"/>
      <c r="BI35" s="175"/>
      <c r="BJ35" s="14" t="s">
        <v>153</v>
      </c>
      <c r="BK35" s="15">
        <v>27230</v>
      </c>
      <c r="BL35" s="13">
        <v>97.84</v>
      </c>
    </row>
    <row r="36" spans="2:64" ht="20" x14ac:dyDescent="0.35">
      <c r="B36" s="34" t="s">
        <v>69</v>
      </c>
      <c r="C36" s="26" t="s">
        <v>70</v>
      </c>
      <c r="D36" s="58">
        <f>_xlfn.XLOOKUP($B36,'(3) SKT 51%'!$B$5:$B$40,'(3) SKT 51%'!$D$5:$D$40)</f>
        <v>20768</v>
      </c>
      <c r="E36" s="40">
        <v>2375</v>
      </c>
      <c r="F36" s="40">
        <v>946</v>
      </c>
      <c r="G36" s="40">
        <v>180</v>
      </c>
      <c r="H36" s="40">
        <v>1143</v>
      </c>
      <c r="I36" s="40">
        <v>0</v>
      </c>
      <c r="J36" s="40">
        <v>1</v>
      </c>
      <c r="K36" s="40">
        <v>0</v>
      </c>
      <c r="L36" s="40">
        <v>2</v>
      </c>
      <c r="M36" s="40">
        <v>16121</v>
      </c>
      <c r="N36" s="40">
        <f t="shared" si="0"/>
        <v>1128</v>
      </c>
      <c r="O36" s="49">
        <f t="shared" si="1"/>
        <v>5.4314329738058553E-2</v>
      </c>
      <c r="P36" s="55">
        <f t="shared" si="2"/>
        <v>10</v>
      </c>
      <c r="R36" s="173"/>
      <c r="S36" s="173"/>
      <c r="T36" s="16" t="s">
        <v>154</v>
      </c>
      <c r="U36" s="17">
        <v>19711</v>
      </c>
      <c r="V36" s="18"/>
      <c r="X36" s="173"/>
      <c r="Y36" s="173"/>
      <c r="Z36" s="16" t="s">
        <v>154</v>
      </c>
      <c r="AA36" s="17">
        <v>16539</v>
      </c>
      <c r="AB36" s="18"/>
      <c r="AD36" s="173"/>
      <c r="AE36" s="173"/>
      <c r="AF36" s="16" t="s">
        <v>154</v>
      </c>
      <c r="AG36" s="17">
        <v>23141</v>
      </c>
      <c r="AH36" s="18"/>
      <c r="AJ36" s="173"/>
      <c r="AK36" s="173"/>
      <c r="AL36" s="16" t="s">
        <v>154</v>
      </c>
      <c r="AM36" s="17">
        <v>9914</v>
      </c>
      <c r="AN36" s="18"/>
      <c r="AP36" s="173"/>
      <c r="AQ36" s="173"/>
      <c r="AR36" s="16" t="s">
        <v>154</v>
      </c>
      <c r="AS36" s="17">
        <v>19608</v>
      </c>
      <c r="AT36" s="18"/>
      <c r="AV36" s="173"/>
      <c r="AW36" s="173"/>
      <c r="AX36" s="16" t="s">
        <v>154</v>
      </c>
      <c r="AY36" s="17">
        <v>34636</v>
      </c>
      <c r="AZ36" s="18"/>
      <c r="BB36" s="173"/>
      <c r="BC36" s="173"/>
      <c r="BD36" s="16" t="s">
        <v>154</v>
      </c>
      <c r="BE36" s="17">
        <v>27926</v>
      </c>
      <c r="BF36" s="18"/>
      <c r="BH36" s="173"/>
      <c r="BI36" s="173"/>
      <c r="BJ36" s="16" t="s">
        <v>154</v>
      </c>
      <c r="BK36" s="17">
        <v>27830</v>
      </c>
      <c r="BL36" s="18"/>
    </row>
    <row r="37" spans="2:64" ht="20" x14ac:dyDescent="0.35">
      <c r="B37" s="33" t="s">
        <v>71</v>
      </c>
      <c r="C37" s="22" t="s">
        <v>72</v>
      </c>
      <c r="D37" s="57">
        <f>_xlfn.XLOOKUP($B37,'(3) SKT 51%'!$B$5:$B$40,'(3) SKT 51%'!$D$5:$D$40)</f>
        <v>19585</v>
      </c>
      <c r="E37" s="39">
        <v>1335</v>
      </c>
      <c r="F37" s="39">
        <v>681</v>
      </c>
      <c r="G37" s="39">
        <v>121</v>
      </c>
      <c r="H37" s="39">
        <v>632</v>
      </c>
      <c r="I37" s="39">
        <v>30</v>
      </c>
      <c r="J37" s="39">
        <v>0</v>
      </c>
      <c r="K37" s="39">
        <v>0</v>
      </c>
      <c r="L37" s="39">
        <v>0</v>
      </c>
      <c r="M37" s="39">
        <v>16786</v>
      </c>
      <c r="N37" s="39">
        <f t="shared" si="0"/>
        <v>802</v>
      </c>
      <c r="O37" s="48">
        <f t="shared" si="1"/>
        <v>4.0949706407965282E-2</v>
      </c>
      <c r="P37" s="54">
        <f t="shared" si="2"/>
        <v>13</v>
      </c>
      <c r="R37" s="174">
        <v>4</v>
      </c>
      <c r="S37" s="175" t="s">
        <v>89</v>
      </c>
      <c r="T37" s="14" t="s">
        <v>145</v>
      </c>
      <c r="U37" s="15">
        <v>2494</v>
      </c>
      <c r="V37" s="13">
        <v>18.71</v>
      </c>
      <c r="X37" s="174">
        <v>4</v>
      </c>
      <c r="Y37" s="175" t="s">
        <v>94</v>
      </c>
      <c r="Z37" s="14" t="s">
        <v>145</v>
      </c>
      <c r="AA37" s="13">
        <v>767</v>
      </c>
      <c r="AB37" s="13">
        <v>2.96</v>
      </c>
      <c r="AD37" s="174">
        <v>4</v>
      </c>
      <c r="AE37" s="175" t="s">
        <v>99</v>
      </c>
      <c r="AF37" s="14" t="s">
        <v>145</v>
      </c>
      <c r="AG37" s="13">
        <v>9</v>
      </c>
      <c r="AH37" s="13">
        <v>7.0000000000000007E-2</v>
      </c>
      <c r="AJ37" s="174">
        <v>4</v>
      </c>
      <c r="AK37" s="175" t="s">
        <v>106</v>
      </c>
      <c r="AL37" s="14" t="s">
        <v>145</v>
      </c>
      <c r="AM37" s="13">
        <v>429</v>
      </c>
      <c r="AN37" s="13">
        <v>2.39</v>
      </c>
      <c r="AP37" s="174">
        <v>4</v>
      </c>
      <c r="AQ37" s="175" t="s">
        <v>112</v>
      </c>
      <c r="AR37" s="14" t="s">
        <v>145</v>
      </c>
      <c r="AS37" s="13">
        <v>3</v>
      </c>
      <c r="AT37" s="13">
        <v>0.01</v>
      </c>
      <c r="AV37" s="174">
        <v>4</v>
      </c>
      <c r="AW37" s="175" t="s">
        <v>118</v>
      </c>
      <c r="AX37" s="14" t="s">
        <v>145</v>
      </c>
      <c r="AY37" s="13">
        <v>92</v>
      </c>
      <c r="AZ37" s="13">
        <v>0.55000000000000004</v>
      </c>
      <c r="BB37" s="174">
        <v>4</v>
      </c>
      <c r="BC37" s="175" t="s">
        <v>123</v>
      </c>
      <c r="BD37" s="14" t="s">
        <v>145</v>
      </c>
      <c r="BE37" s="15">
        <v>2375</v>
      </c>
      <c r="BF37" s="13">
        <v>11.44</v>
      </c>
      <c r="BH37" s="173"/>
      <c r="BI37" s="173"/>
      <c r="BJ37" s="16" t="s">
        <v>155</v>
      </c>
      <c r="BK37" s="17">
        <v>81943</v>
      </c>
      <c r="BL37" s="18"/>
    </row>
    <row r="38" spans="2:64" x14ac:dyDescent="0.35">
      <c r="B38" s="33" t="s">
        <v>73</v>
      </c>
      <c r="C38" s="22" t="s">
        <v>74</v>
      </c>
      <c r="D38" s="57">
        <f>_xlfn.XLOOKUP($B38,'(3) SKT 51%'!$B$5:$B$40,'(3) SKT 51%'!$D$5:$D$40)</f>
        <v>29235</v>
      </c>
      <c r="E38" s="39">
        <v>43</v>
      </c>
      <c r="F38" s="39">
        <v>270</v>
      </c>
      <c r="G38" s="39">
        <v>80</v>
      </c>
      <c r="H38" s="39">
        <v>40</v>
      </c>
      <c r="I38" s="39">
        <v>7</v>
      </c>
      <c r="J38" s="39">
        <v>0</v>
      </c>
      <c r="K38" s="39">
        <v>0</v>
      </c>
      <c r="L38" s="39">
        <v>0</v>
      </c>
      <c r="M38" s="39">
        <v>28795</v>
      </c>
      <c r="N38" s="39">
        <f t="shared" si="0"/>
        <v>350</v>
      </c>
      <c r="O38" s="48">
        <f t="shared" si="1"/>
        <v>1.1971951428082777E-2</v>
      </c>
      <c r="P38" s="54">
        <f t="shared" si="2"/>
        <v>29</v>
      </c>
      <c r="R38" s="174"/>
      <c r="S38" s="175"/>
      <c r="T38" s="14" t="s">
        <v>146</v>
      </c>
      <c r="U38" s="13">
        <v>24</v>
      </c>
      <c r="V38" s="13">
        <v>0.18</v>
      </c>
      <c r="X38" s="174"/>
      <c r="Y38" s="175"/>
      <c r="Z38" s="14" t="s">
        <v>146</v>
      </c>
      <c r="AA38" s="13">
        <v>201</v>
      </c>
      <c r="AB38" s="13">
        <v>0.77</v>
      </c>
      <c r="AD38" s="174"/>
      <c r="AE38" s="175"/>
      <c r="AF38" s="14" t="s">
        <v>146</v>
      </c>
      <c r="AG38" s="13">
        <v>64</v>
      </c>
      <c r="AH38" s="13">
        <v>0.49</v>
      </c>
      <c r="AJ38" s="174"/>
      <c r="AK38" s="175"/>
      <c r="AL38" s="14" t="s">
        <v>146</v>
      </c>
      <c r="AM38" s="13">
        <v>258</v>
      </c>
      <c r="AN38" s="13">
        <v>1.44</v>
      </c>
      <c r="AP38" s="174"/>
      <c r="AQ38" s="175"/>
      <c r="AR38" s="14" t="s">
        <v>146</v>
      </c>
      <c r="AS38" s="13">
        <v>34</v>
      </c>
      <c r="AT38" s="13">
        <v>0.11</v>
      </c>
      <c r="AV38" s="174"/>
      <c r="AW38" s="175"/>
      <c r="AX38" s="14" t="s">
        <v>146</v>
      </c>
      <c r="AY38" s="13">
        <v>247</v>
      </c>
      <c r="AZ38" s="13">
        <v>1.48</v>
      </c>
      <c r="BB38" s="174"/>
      <c r="BC38" s="175"/>
      <c r="BD38" s="14" t="s">
        <v>146</v>
      </c>
      <c r="BE38" s="13">
        <v>946</v>
      </c>
      <c r="BF38" s="13">
        <v>4.5599999999999996</v>
      </c>
    </row>
    <row r="39" spans="2:64" ht="30" x14ac:dyDescent="0.35">
      <c r="B39" s="33" t="s">
        <v>75</v>
      </c>
      <c r="C39" s="22" t="s">
        <v>76</v>
      </c>
      <c r="D39" s="57">
        <f>_xlfn.XLOOKUP($B39,'(3) SKT 51%'!$B$5:$B$40,'(3) SKT 51%'!$D$5:$D$40)</f>
        <v>24878</v>
      </c>
      <c r="E39" s="39">
        <v>381</v>
      </c>
      <c r="F39" s="39">
        <v>410</v>
      </c>
      <c r="G39" s="39">
        <v>253</v>
      </c>
      <c r="H39" s="39">
        <v>78</v>
      </c>
      <c r="I39" s="39">
        <v>77</v>
      </c>
      <c r="J39" s="39">
        <v>7</v>
      </c>
      <c r="K39" s="39">
        <v>5</v>
      </c>
      <c r="L39" s="39">
        <v>1</v>
      </c>
      <c r="M39" s="39">
        <v>23666</v>
      </c>
      <c r="N39" s="39">
        <f t="shared" si="0"/>
        <v>664</v>
      </c>
      <c r="O39" s="48">
        <f t="shared" si="1"/>
        <v>2.6690248412251788E-2</v>
      </c>
      <c r="P39" s="54">
        <f t="shared" si="2"/>
        <v>17</v>
      </c>
      <c r="R39" s="174"/>
      <c r="S39" s="175"/>
      <c r="T39" s="14" t="s">
        <v>147</v>
      </c>
      <c r="U39" s="15">
        <v>2322</v>
      </c>
      <c r="V39" s="13">
        <v>17.420000000000002</v>
      </c>
      <c r="X39" s="174"/>
      <c r="Y39" s="175"/>
      <c r="Z39" s="14" t="s">
        <v>147</v>
      </c>
      <c r="AA39" s="13">
        <v>838</v>
      </c>
      <c r="AB39" s="13">
        <v>3.23</v>
      </c>
      <c r="AD39" s="174"/>
      <c r="AE39" s="175"/>
      <c r="AF39" s="14" t="s">
        <v>147</v>
      </c>
      <c r="AG39" s="13">
        <v>159</v>
      </c>
      <c r="AH39" s="13">
        <v>1.23</v>
      </c>
      <c r="AJ39" s="174"/>
      <c r="AK39" s="175"/>
      <c r="AL39" s="14" t="s">
        <v>147</v>
      </c>
      <c r="AM39" s="13">
        <v>89</v>
      </c>
      <c r="AN39" s="13">
        <v>0.5</v>
      </c>
      <c r="AP39" s="174"/>
      <c r="AQ39" s="175"/>
      <c r="AR39" s="14" t="s">
        <v>147</v>
      </c>
      <c r="AS39" s="13">
        <v>32</v>
      </c>
      <c r="AT39" s="13">
        <v>0.11</v>
      </c>
      <c r="AV39" s="174"/>
      <c r="AW39" s="175"/>
      <c r="AX39" s="14" t="s">
        <v>147</v>
      </c>
      <c r="AY39" s="13">
        <v>187</v>
      </c>
      <c r="AZ39" s="13">
        <v>1.1200000000000001</v>
      </c>
      <c r="BB39" s="174"/>
      <c r="BC39" s="175"/>
      <c r="BD39" s="14" t="s">
        <v>147</v>
      </c>
      <c r="BE39" s="13">
        <v>180</v>
      </c>
      <c r="BF39" s="13">
        <v>0.87</v>
      </c>
    </row>
    <row r="40" spans="2:64" ht="20" x14ac:dyDescent="0.35">
      <c r="B40" s="35" t="s">
        <v>77</v>
      </c>
      <c r="C40" s="29" t="s">
        <v>78</v>
      </c>
      <c r="D40" s="59">
        <f>_xlfn.XLOOKUP($B40,'(3) SKT 51%'!$B$5:$B$40,'(3) SKT 51%'!$D$5:$D$40)</f>
        <v>27830</v>
      </c>
      <c r="E40" s="41">
        <v>120</v>
      </c>
      <c r="F40" s="41">
        <v>162</v>
      </c>
      <c r="G40" s="41">
        <v>76</v>
      </c>
      <c r="H40" s="41">
        <v>229</v>
      </c>
      <c r="I40" s="41">
        <v>5</v>
      </c>
      <c r="J40" s="41">
        <v>6</v>
      </c>
      <c r="K40" s="41">
        <v>1</v>
      </c>
      <c r="L40" s="41">
        <v>1</v>
      </c>
      <c r="M40" s="41">
        <v>27230</v>
      </c>
      <c r="N40" s="41">
        <f t="shared" si="0"/>
        <v>239</v>
      </c>
      <c r="O40" s="51">
        <f t="shared" si="1"/>
        <v>8.587854832914122E-3</v>
      </c>
      <c r="P40" s="56">
        <f t="shared" si="2"/>
        <v>30</v>
      </c>
      <c r="R40" s="174"/>
      <c r="S40" s="175"/>
      <c r="T40" s="14" t="s">
        <v>148</v>
      </c>
      <c r="U40" s="15">
        <v>2050</v>
      </c>
      <c r="V40" s="13">
        <v>15.38</v>
      </c>
      <c r="X40" s="174"/>
      <c r="Y40" s="175"/>
      <c r="Z40" s="14" t="s">
        <v>148</v>
      </c>
      <c r="AA40" s="15">
        <v>2014</v>
      </c>
      <c r="AB40" s="13">
        <v>7.76</v>
      </c>
      <c r="AD40" s="174"/>
      <c r="AE40" s="175"/>
      <c r="AF40" s="14" t="s">
        <v>148</v>
      </c>
      <c r="AG40" s="13">
        <v>284</v>
      </c>
      <c r="AH40" s="13">
        <v>2.19</v>
      </c>
      <c r="AJ40" s="174"/>
      <c r="AK40" s="175"/>
      <c r="AL40" s="14" t="s">
        <v>148</v>
      </c>
      <c r="AM40" s="13">
        <v>142</v>
      </c>
      <c r="AN40" s="13">
        <v>0.79</v>
      </c>
      <c r="AP40" s="174"/>
      <c r="AQ40" s="175"/>
      <c r="AR40" s="14" t="s">
        <v>148</v>
      </c>
      <c r="AS40" s="13">
        <v>1</v>
      </c>
      <c r="AT40" s="13">
        <v>0</v>
      </c>
      <c r="AV40" s="174"/>
      <c r="AW40" s="175"/>
      <c r="AX40" s="14" t="s">
        <v>148</v>
      </c>
      <c r="AY40" s="13">
        <v>566</v>
      </c>
      <c r="AZ40" s="13">
        <v>3.38</v>
      </c>
      <c r="BB40" s="174"/>
      <c r="BC40" s="175"/>
      <c r="BD40" s="14" t="s">
        <v>148</v>
      </c>
      <c r="BE40" s="15">
        <v>1143</v>
      </c>
      <c r="BF40" s="13">
        <v>5.5</v>
      </c>
    </row>
    <row r="41" spans="2:64" ht="30" x14ac:dyDescent="0.35">
      <c r="R41" s="174"/>
      <c r="S41" s="175"/>
      <c r="T41" s="14" t="s">
        <v>149</v>
      </c>
      <c r="U41" s="13">
        <v>0</v>
      </c>
      <c r="V41" s="13">
        <v>0</v>
      </c>
      <c r="X41" s="174"/>
      <c r="Y41" s="175"/>
      <c r="Z41" s="14" t="s">
        <v>149</v>
      </c>
      <c r="AA41" s="13">
        <v>1</v>
      </c>
      <c r="AB41" s="13">
        <v>0</v>
      </c>
      <c r="AD41" s="174"/>
      <c r="AE41" s="175"/>
      <c r="AF41" s="14" t="s">
        <v>149</v>
      </c>
      <c r="AG41" s="13">
        <v>0</v>
      </c>
      <c r="AH41" s="13">
        <v>0</v>
      </c>
      <c r="AJ41" s="174"/>
      <c r="AK41" s="175"/>
      <c r="AL41" s="14" t="s">
        <v>149</v>
      </c>
      <c r="AM41" s="13">
        <v>8</v>
      </c>
      <c r="AN41" s="13">
        <v>0.04</v>
      </c>
      <c r="AP41" s="174"/>
      <c r="AQ41" s="175"/>
      <c r="AR41" s="14" t="s">
        <v>149</v>
      </c>
      <c r="AS41" s="13">
        <v>0</v>
      </c>
      <c r="AT41" s="13">
        <v>0</v>
      </c>
      <c r="AV41" s="174"/>
      <c r="AW41" s="175"/>
      <c r="AX41" s="14" t="s">
        <v>149</v>
      </c>
      <c r="AY41" s="13">
        <v>0</v>
      </c>
      <c r="AZ41" s="13">
        <v>0</v>
      </c>
      <c r="BB41" s="174"/>
      <c r="BC41" s="175"/>
      <c r="BD41" s="14" t="s">
        <v>149</v>
      </c>
      <c r="BE41" s="13">
        <v>0</v>
      </c>
      <c r="BF41" s="13">
        <v>0</v>
      </c>
    </row>
    <row r="42" spans="2:64" ht="20" x14ac:dyDescent="0.35">
      <c r="R42" s="174"/>
      <c r="S42" s="175"/>
      <c r="T42" s="14" t="s">
        <v>150</v>
      </c>
      <c r="U42" s="13">
        <v>0</v>
      </c>
      <c r="V42" s="13">
        <v>0</v>
      </c>
      <c r="X42" s="174"/>
      <c r="Y42" s="175"/>
      <c r="Z42" s="14" t="s">
        <v>150</v>
      </c>
      <c r="AA42" s="13">
        <v>0</v>
      </c>
      <c r="AB42" s="13">
        <v>0</v>
      </c>
      <c r="AD42" s="174"/>
      <c r="AE42" s="175"/>
      <c r="AF42" s="14" t="s">
        <v>150</v>
      </c>
      <c r="AG42" s="13">
        <v>17</v>
      </c>
      <c r="AH42" s="13">
        <v>0.13</v>
      </c>
      <c r="AJ42" s="174"/>
      <c r="AK42" s="175"/>
      <c r="AL42" s="14" t="s">
        <v>150</v>
      </c>
      <c r="AM42" s="13">
        <v>20</v>
      </c>
      <c r="AN42" s="13">
        <v>0.11</v>
      </c>
      <c r="AP42" s="174"/>
      <c r="AQ42" s="175"/>
      <c r="AR42" s="14" t="s">
        <v>150</v>
      </c>
      <c r="AS42" s="13">
        <v>0</v>
      </c>
      <c r="AT42" s="13">
        <v>0</v>
      </c>
      <c r="AV42" s="174"/>
      <c r="AW42" s="175"/>
      <c r="AX42" s="14" t="s">
        <v>150</v>
      </c>
      <c r="AY42" s="13">
        <v>17</v>
      </c>
      <c r="AZ42" s="13">
        <v>0.1</v>
      </c>
      <c r="BB42" s="174"/>
      <c r="BC42" s="175"/>
      <c r="BD42" s="14" t="s">
        <v>150</v>
      </c>
      <c r="BE42" s="13">
        <v>1</v>
      </c>
      <c r="BF42" s="13">
        <v>0</v>
      </c>
    </row>
    <row r="43" spans="2:64" x14ac:dyDescent="0.35">
      <c r="R43" s="174"/>
      <c r="S43" s="175"/>
      <c r="T43" s="14" t="s">
        <v>151</v>
      </c>
      <c r="U43" s="13">
        <v>0</v>
      </c>
      <c r="V43" s="13">
        <v>0</v>
      </c>
      <c r="X43" s="174"/>
      <c r="Y43" s="175"/>
      <c r="Z43" s="14" t="s">
        <v>151</v>
      </c>
      <c r="AA43" s="13">
        <v>0</v>
      </c>
      <c r="AB43" s="13">
        <v>0</v>
      </c>
      <c r="AD43" s="174"/>
      <c r="AE43" s="175"/>
      <c r="AF43" s="14" t="s">
        <v>151</v>
      </c>
      <c r="AG43" s="13">
        <v>3</v>
      </c>
      <c r="AH43" s="13">
        <v>0.02</v>
      </c>
      <c r="AJ43" s="174"/>
      <c r="AK43" s="175"/>
      <c r="AL43" s="14" t="s">
        <v>151</v>
      </c>
      <c r="AM43" s="13">
        <v>0</v>
      </c>
      <c r="AN43" s="13">
        <v>0</v>
      </c>
      <c r="AP43" s="174"/>
      <c r="AQ43" s="175"/>
      <c r="AR43" s="14" t="s">
        <v>151</v>
      </c>
      <c r="AS43" s="13">
        <v>0</v>
      </c>
      <c r="AT43" s="13">
        <v>0</v>
      </c>
      <c r="AV43" s="174"/>
      <c r="AW43" s="175"/>
      <c r="AX43" s="14" t="s">
        <v>151</v>
      </c>
      <c r="AY43" s="13">
        <v>4</v>
      </c>
      <c r="AZ43" s="13">
        <v>0.02</v>
      </c>
      <c r="BB43" s="174"/>
      <c r="BC43" s="175"/>
      <c r="BD43" s="14" t="s">
        <v>151</v>
      </c>
      <c r="BE43" s="13">
        <v>0</v>
      </c>
      <c r="BF43" s="13">
        <v>0</v>
      </c>
    </row>
    <row r="44" spans="2:64" ht="30" x14ac:dyDescent="0.35">
      <c r="B44" s="33" t="s">
        <v>11</v>
      </c>
      <c r="C44" s="22" t="s">
        <v>174</v>
      </c>
      <c r="D44" s="57">
        <f>_xlfn.XLOOKUP($B44,'(3) SKT 51%'!$B$5:$B$40,'(3) SKT 51%'!$D$5:$D$40)</f>
        <v>19711</v>
      </c>
      <c r="E44" s="95">
        <f>N5</f>
        <v>923</v>
      </c>
      <c r="F44" s="103">
        <f>(E44/D44)*100</f>
        <v>4.6826645020546902</v>
      </c>
      <c r="R44" s="174"/>
      <c r="S44" s="175"/>
      <c r="T44" s="14" t="s">
        <v>152</v>
      </c>
      <c r="U44" s="13">
        <v>0</v>
      </c>
      <c r="V44" s="13">
        <v>0</v>
      </c>
      <c r="X44" s="174"/>
      <c r="Y44" s="175"/>
      <c r="Z44" s="14" t="s">
        <v>152</v>
      </c>
      <c r="AA44" s="13">
        <v>0</v>
      </c>
      <c r="AB44" s="13">
        <v>0</v>
      </c>
      <c r="AD44" s="174"/>
      <c r="AE44" s="175"/>
      <c r="AF44" s="14" t="s">
        <v>152</v>
      </c>
      <c r="AG44" s="13">
        <v>0</v>
      </c>
      <c r="AH44" s="13">
        <v>0</v>
      </c>
      <c r="AJ44" s="174"/>
      <c r="AK44" s="175"/>
      <c r="AL44" s="14" t="s">
        <v>152</v>
      </c>
      <c r="AM44" s="13">
        <v>0</v>
      </c>
      <c r="AN44" s="13">
        <v>0</v>
      </c>
      <c r="AP44" s="174"/>
      <c r="AQ44" s="175"/>
      <c r="AR44" s="14" t="s">
        <v>152</v>
      </c>
      <c r="AS44" s="13">
        <v>0</v>
      </c>
      <c r="AT44" s="13">
        <v>0</v>
      </c>
      <c r="AV44" s="174"/>
      <c r="AW44" s="175"/>
      <c r="AX44" s="14" t="s">
        <v>152</v>
      </c>
      <c r="AY44" s="13">
        <v>1</v>
      </c>
      <c r="AZ44" s="13">
        <v>0.01</v>
      </c>
      <c r="BB44" s="174"/>
      <c r="BC44" s="175"/>
      <c r="BD44" s="14" t="s">
        <v>152</v>
      </c>
      <c r="BE44" s="13">
        <v>2</v>
      </c>
      <c r="BF44" s="13">
        <v>0.01</v>
      </c>
    </row>
    <row r="45" spans="2:64" ht="20" x14ac:dyDescent="0.35">
      <c r="B45" s="34" t="s">
        <v>13</v>
      </c>
      <c r="C45" s="26" t="s">
        <v>175</v>
      </c>
      <c r="D45" s="58">
        <f>_xlfn.XLOOKUP($B45,'(3) SKT 51%'!$B$5:$B$40,'(3) SKT 51%'!$D$5:$D$40)</f>
        <v>13329</v>
      </c>
      <c r="E45" s="95">
        <f t="shared" ref="E45:E79" si="3">N6</f>
        <v>1421</v>
      </c>
      <c r="F45" s="103">
        <f t="shared" ref="F45:F79" si="4">(E45/D45)*100</f>
        <v>10.660964813564409</v>
      </c>
      <c r="R45" s="174"/>
      <c r="S45" s="175"/>
      <c r="T45" s="14" t="s">
        <v>153</v>
      </c>
      <c r="U45" s="15">
        <v>6439</v>
      </c>
      <c r="V45" s="13">
        <v>48.31</v>
      </c>
      <c r="X45" s="174"/>
      <c r="Y45" s="175"/>
      <c r="Z45" s="14" t="s">
        <v>153</v>
      </c>
      <c r="AA45" s="15">
        <v>22130</v>
      </c>
      <c r="AB45" s="13">
        <v>85.28</v>
      </c>
      <c r="AD45" s="174"/>
      <c r="AE45" s="175"/>
      <c r="AF45" s="14" t="s">
        <v>153</v>
      </c>
      <c r="AG45" s="15">
        <v>12439</v>
      </c>
      <c r="AH45" s="13">
        <v>95.87</v>
      </c>
      <c r="AJ45" s="174"/>
      <c r="AK45" s="175"/>
      <c r="AL45" s="14" t="s">
        <v>153</v>
      </c>
      <c r="AM45" s="15">
        <v>17017</v>
      </c>
      <c r="AN45" s="13">
        <v>94.73</v>
      </c>
      <c r="AP45" s="174"/>
      <c r="AQ45" s="175"/>
      <c r="AR45" s="14" t="s">
        <v>153</v>
      </c>
      <c r="AS45" s="15">
        <v>30246</v>
      </c>
      <c r="AT45" s="13">
        <v>99.77</v>
      </c>
      <c r="AV45" s="174"/>
      <c r="AW45" s="175"/>
      <c r="AX45" s="14" t="s">
        <v>153</v>
      </c>
      <c r="AY45" s="15">
        <v>15616</v>
      </c>
      <c r="AZ45" s="13">
        <v>93.34</v>
      </c>
      <c r="BB45" s="174"/>
      <c r="BC45" s="175"/>
      <c r="BD45" s="14" t="s">
        <v>153</v>
      </c>
      <c r="BE45" s="15">
        <v>16121</v>
      </c>
      <c r="BF45" s="13">
        <v>77.62</v>
      </c>
    </row>
    <row r="46" spans="2:64" ht="20" x14ac:dyDescent="0.35">
      <c r="B46" s="33" t="s">
        <v>9</v>
      </c>
      <c r="C46" s="22" t="s">
        <v>176</v>
      </c>
      <c r="D46" s="57">
        <f>_xlfn.XLOOKUP($B46,'(3) SKT 51%'!$B$5:$B$40,'(3) SKT 51%'!$D$5:$D$40)</f>
        <v>12880</v>
      </c>
      <c r="E46" s="95">
        <f t="shared" si="3"/>
        <v>4880</v>
      </c>
      <c r="F46" s="103">
        <f t="shared" si="4"/>
        <v>37.888198757763973</v>
      </c>
      <c r="R46" s="173"/>
      <c r="S46" s="173"/>
      <c r="T46" s="16" t="s">
        <v>154</v>
      </c>
      <c r="U46" s="17">
        <v>13329</v>
      </c>
      <c r="V46" s="18"/>
      <c r="X46" s="173"/>
      <c r="Y46" s="173"/>
      <c r="Z46" s="16" t="s">
        <v>154</v>
      </c>
      <c r="AA46" s="17">
        <v>25951</v>
      </c>
      <c r="AB46" s="18"/>
      <c r="AD46" s="173"/>
      <c r="AE46" s="173"/>
      <c r="AF46" s="16" t="s">
        <v>154</v>
      </c>
      <c r="AG46" s="17">
        <v>12975</v>
      </c>
      <c r="AH46" s="18"/>
      <c r="AJ46" s="173"/>
      <c r="AK46" s="173"/>
      <c r="AL46" s="16" t="s">
        <v>154</v>
      </c>
      <c r="AM46" s="17">
        <v>17963</v>
      </c>
      <c r="AN46" s="18"/>
      <c r="AP46" s="173"/>
      <c r="AQ46" s="173"/>
      <c r="AR46" s="16" t="s">
        <v>154</v>
      </c>
      <c r="AS46" s="17">
        <v>30316</v>
      </c>
      <c r="AT46" s="18"/>
      <c r="AV46" s="173"/>
      <c r="AW46" s="173"/>
      <c r="AX46" s="16" t="s">
        <v>154</v>
      </c>
      <c r="AY46" s="17">
        <v>16730</v>
      </c>
      <c r="AZ46" s="18"/>
      <c r="BB46" s="173"/>
      <c r="BC46" s="173"/>
      <c r="BD46" s="16" t="s">
        <v>154</v>
      </c>
      <c r="BE46" s="17">
        <v>20768</v>
      </c>
      <c r="BF46" s="18"/>
    </row>
    <row r="47" spans="2:64" ht="20" x14ac:dyDescent="0.35">
      <c r="B47" s="34" t="s">
        <v>17</v>
      </c>
      <c r="C47" s="26" t="s">
        <v>177</v>
      </c>
      <c r="D47" s="58">
        <f>_xlfn.XLOOKUP($B47,'(3) SKT 51%'!$B$5:$B$40,'(3) SKT 51%'!$D$5:$D$40)</f>
        <v>23548</v>
      </c>
      <c r="E47" s="95">
        <f t="shared" si="3"/>
        <v>2346</v>
      </c>
      <c r="F47" s="103">
        <f t="shared" si="4"/>
        <v>9.9626295226770853</v>
      </c>
      <c r="R47" s="173"/>
      <c r="S47" s="173"/>
      <c r="T47" s="16" t="s">
        <v>155</v>
      </c>
      <c r="U47" s="17">
        <v>60347</v>
      </c>
      <c r="V47" s="18"/>
      <c r="X47" s="173"/>
      <c r="Y47" s="173"/>
      <c r="Z47" s="16" t="s">
        <v>155</v>
      </c>
      <c r="AA47" s="17">
        <v>96631</v>
      </c>
      <c r="AB47" s="18"/>
      <c r="AD47" s="174">
        <v>5</v>
      </c>
      <c r="AE47" s="175" t="s">
        <v>100</v>
      </c>
      <c r="AF47" s="14" t="s">
        <v>145</v>
      </c>
      <c r="AG47" s="15">
        <v>3998</v>
      </c>
      <c r="AH47" s="13">
        <v>11.8</v>
      </c>
      <c r="AJ47" s="174">
        <v>5</v>
      </c>
      <c r="AK47" s="175" t="s">
        <v>107</v>
      </c>
      <c r="AL47" s="14" t="s">
        <v>145</v>
      </c>
      <c r="AM47" s="13">
        <v>453</v>
      </c>
      <c r="AN47" s="13">
        <v>3.67</v>
      </c>
      <c r="AP47" s="174">
        <v>5</v>
      </c>
      <c r="AQ47" s="175" t="s">
        <v>113</v>
      </c>
      <c r="AR47" s="14" t="s">
        <v>145</v>
      </c>
      <c r="AS47" s="13">
        <v>9</v>
      </c>
      <c r="AT47" s="13">
        <v>0.03</v>
      </c>
      <c r="AV47" s="173"/>
      <c r="AW47" s="173"/>
      <c r="AX47" s="16" t="s">
        <v>155</v>
      </c>
      <c r="AY47" s="17">
        <v>142388</v>
      </c>
      <c r="AZ47" s="18"/>
      <c r="BB47" s="174">
        <v>5</v>
      </c>
      <c r="BC47" s="175" t="s">
        <v>124</v>
      </c>
      <c r="BD47" s="14" t="s">
        <v>145</v>
      </c>
      <c r="BE47" s="15">
        <v>1335</v>
      </c>
      <c r="BF47" s="13">
        <v>6.82</v>
      </c>
    </row>
    <row r="48" spans="2:64" x14ac:dyDescent="0.35">
      <c r="B48" s="33" t="s">
        <v>15</v>
      </c>
      <c r="C48" s="22" t="s">
        <v>178</v>
      </c>
      <c r="D48" s="57">
        <f>_xlfn.XLOOKUP($B48,'(3) SKT 51%'!$B$5:$B$40,'(3) SKT 51%'!$D$5:$D$40)</f>
        <v>30593</v>
      </c>
      <c r="E48" s="95">
        <f t="shared" si="3"/>
        <v>3273</v>
      </c>
      <c r="F48" s="103">
        <f t="shared" si="4"/>
        <v>10.698525806557054</v>
      </c>
      <c r="AD48" s="174"/>
      <c r="AE48" s="175"/>
      <c r="AF48" s="14" t="s">
        <v>146</v>
      </c>
      <c r="AG48" s="13">
        <v>588</v>
      </c>
      <c r="AH48" s="13">
        <v>1.74</v>
      </c>
      <c r="AJ48" s="174"/>
      <c r="AK48" s="175"/>
      <c r="AL48" s="14" t="s">
        <v>146</v>
      </c>
      <c r="AM48" s="13">
        <v>472</v>
      </c>
      <c r="AN48" s="13">
        <v>3.82</v>
      </c>
      <c r="AP48" s="174"/>
      <c r="AQ48" s="175"/>
      <c r="AR48" s="14" t="s">
        <v>146</v>
      </c>
      <c r="AS48" s="13">
        <v>56</v>
      </c>
      <c r="AT48" s="13">
        <v>0.17</v>
      </c>
      <c r="BB48" s="174"/>
      <c r="BC48" s="175"/>
      <c r="BD48" s="14" t="s">
        <v>146</v>
      </c>
      <c r="BE48" s="13">
        <v>681</v>
      </c>
      <c r="BF48" s="13">
        <v>3.48</v>
      </c>
    </row>
    <row r="49" spans="2:58" ht="30" x14ac:dyDescent="0.35">
      <c r="B49" s="34" t="s">
        <v>31</v>
      </c>
      <c r="C49" s="26" t="s">
        <v>179</v>
      </c>
      <c r="D49" s="58">
        <f>_xlfn.XLOOKUP($B49,'(3) SKT 51%'!$B$5:$B$40,'(3) SKT 51%'!$D$5:$D$40)</f>
        <v>33885</v>
      </c>
      <c r="E49" s="95">
        <f t="shared" si="3"/>
        <v>2551</v>
      </c>
      <c r="F49" s="103">
        <f t="shared" si="4"/>
        <v>7.5284048989228278</v>
      </c>
      <c r="AD49" s="174"/>
      <c r="AE49" s="175"/>
      <c r="AF49" s="14" t="s">
        <v>147</v>
      </c>
      <c r="AG49" s="15">
        <v>1661</v>
      </c>
      <c r="AH49" s="13">
        <v>4.9000000000000004</v>
      </c>
      <c r="AJ49" s="174"/>
      <c r="AK49" s="175"/>
      <c r="AL49" s="14" t="s">
        <v>147</v>
      </c>
      <c r="AM49" s="13">
        <v>240</v>
      </c>
      <c r="AN49" s="13">
        <v>1.94</v>
      </c>
      <c r="AP49" s="174"/>
      <c r="AQ49" s="175"/>
      <c r="AR49" s="14" t="s">
        <v>147</v>
      </c>
      <c r="AS49" s="13">
        <v>74</v>
      </c>
      <c r="AT49" s="13">
        <v>0.22</v>
      </c>
      <c r="BB49" s="174"/>
      <c r="BC49" s="175"/>
      <c r="BD49" s="14" t="s">
        <v>147</v>
      </c>
      <c r="BE49" s="13">
        <v>121</v>
      </c>
      <c r="BF49" s="13">
        <v>0.62</v>
      </c>
    </row>
    <row r="50" spans="2:58" ht="20" x14ac:dyDescent="0.35">
      <c r="B50" s="33" t="s">
        <v>19</v>
      </c>
      <c r="C50" s="22" t="s">
        <v>180</v>
      </c>
      <c r="D50" s="57">
        <f>_xlfn.XLOOKUP($B50,'(3) SKT 51%'!$B$5:$B$40,'(3) SKT 51%'!$D$5:$D$40)</f>
        <v>16539</v>
      </c>
      <c r="E50" s="95">
        <f t="shared" si="3"/>
        <v>1068</v>
      </c>
      <c r="F50" s="103">
        <f t="shared" si="4"/>
        <v>6.4574641755849811</v>
      </c>
      <c r="AD50" s="174"/>
      <c r="AE50" s="175"/>
      <c r="AF50" s="14" t="s">
        <v>148</v>
      </c>
      <c r="AG50" s="15">
        <v>2385</v>
      </c>
      <c r="AH50" s="13">
        <v>7.04</v>
      </c>
      <c r="AJ50" s="174"/>
      <c r="AK50" s="175"/>
      <c r="AL50" s="14" t="s">
        <v>148</v>
      </c>
      <c r="AM50" s="13">
        <v>540</v>
      </c>
      <c r="AN50" s="13">
        <v>4.37</v>
      </c>
      <c r="AP50" s="174"/>
      <c r="AQ50" s="175"/>
      <c r="AR50" s="14" t="s">
        <v>148</v>
      </c>
      <c r="AS50" s="13">
        <v>12</v>
      </c>
      <c r="AT50" s="13">
        <v>0.04</v>
      </c>
      <c r="BB50" s="174"/>
      <c r="BC50" s="175"/>
      <c r="BD50" s="14" t="s">
        <v>148</v>
      </c>
      <c r="BE50" s="13">
        <v>632</v>
      </c>
      <c r="BF50" s="13">
        <v>3.23</v>
      </c>
    </row>
    <row r="51" spans="2:58" ht="30" x14ac:dyDescent="0.35">
      <c r="B51" s="34" t="s">
        <v>7</v>
      </c>
      <c r="C51" s="26" t="s">
        <v>181</v>
      </c>
      <c r="D51" s="58">
        <f>_xlfn.XLOOKUP($B51,'(3) SKT 51%'!$B$5:$B$40,'(3) SKT 51%'!$D$5:$D$40)</f>
        <v>14427</v>
      </c>
      <c r="E51" s="95">
        <f t="shared" si="3"/>
        <v>1039</v>
      </c>
      <c r="F51" s="103">
        <f t="shared" si="4"/>
        <v>7.2017744506827475</v>
      </c>
      <c r="AD51" s="174"/>
      <c r="AE51" s="175"/>
      <c r="AF51" s="14" t="s">
        <v>149</v>
      </c>
      <c r="AG51" s="13">
        <v>5</v>
      </c>
      <c r="AH51" s="13">
        <v>0.01</v>
      </c>
      <c r="AJ51" s="174"/>
      <c r="AK51" s="175"/>
      <c r="AL51" s="14" t="s">
        <v>149</v>
      </c>
      <c r="AM51" s="13">
        <v>212</v>
      </c>
      <c r="AN51" s="13">
        <v>1.72</v>
      </c>
      <c r="AP51" s="174"/>
      <c r="AQ51" s="175"/>
      <c r="AR51" s="14" t="s">
        <v>149</v>
      </c>
      <c r="AS51" s="13">
        <v>0</v>
      </c>
      <c r="AT51" s="13">
        <v>0</v>
      </c>
      <c r="BB51" s="174"/>
      <c r="BC51" s="175"/>
      <c r="BD51" s="14" t="s">
        <v>149</v>
      </c>
      <c r="BE51" s="13">
        <v>30</v>
      </c>
      <c r="BF51" s="13">
        <v>0.15</v>
      </c>
    </row>
    <row r="52" spans="2:58" ht="20" x14ac:dyDescent="0.35">
      <c r="B52" s="33" t="s">
        <v>43</v>
      </c>
      <c r="C52" s="22" t="s">
        <v>182</v>
      </c>
      <c r="D52" s="57">
        <f>_xlfn.XLOOKUP($B52,'(3) SKT 51%'!$B$5:$B$40,'(3) SKT 51%'!$D$5:$D$40)</f>
        <v>12359</v>
      </c>
      <c r="E52" s="95">
        <f t="shared" si="3"/>
        <v>1010</v>
      </c>
      <c r="F52" s="103">
        <f t="shared" si="4"/>
        <v>8.1721822153895953</v>
      </c>
      <c r="AD52" s="174"/>
      <c r="AE52" s="175"/>
      <c r="AF52" s="14" t="s">
        <v>150</v>
      </c>
      <c r="AG52" s="13">
        <v>1</v>
      </c>
      <c r="AH52" s="13">
        <v>0</v>
      </c>
      <c r="AJ52" s="174"/>
      <c r="AK52" s="175"/>
      <c r="AL52" s="14" t="s">
        <v>150</v>
      </c>
      <c r="AM52" s="13">
        <v>1</v>
      </c>
      <c r="AN52" s="13">
        <v>0.01</v>
      </c>
      <c r="AP52" s="174"/>
      <c r="AQ52" s="175"/>
      <c r="AR52" s="14" t="s">
        <v>150</v>
      </c>
      <c r="AS52" s="13">
        <v>0</v>
      </c>
      <c r="AT52" s="13">
        <v>0</v>
      </c>
      <c r="BB52" s="174"/>
      <c r="BC52" s="175"/>
      <c r="BD52" s="14" t="s">
        <v>150</v>
      </c>
      <c r="BE52" s="13">
        <v>0</v>
      </c>
      <c r="BF52" s="13">
        <v>0</v>
      </c>
    </row>
    <row r="53" spans="2:58" x14ac:dyDescent="0.35">
      <c r="B53" s="34" t="s">
        <v>69</v>
      </c>
      <c r="C53" s="26" t="s">
        <v>183</v>
      </c>
      <c r="D53" s="58">
        <f>_xlfn.XLOOKUP($B53,'(3) SKT 51%'!$B$5:$B$40,'(3) SKT 51%'!$D$5:$D$40)</f>
        <v>20768</v>
      </c>
      <c r="E53" s="95">
        <f t="shared" si="3"/>
        <v>873</v>
      </c>
      <c r="F53" s="103">
        <f t="shared" si="4"/>
        <v>4.2035824345146375</v>
      </c>
      <c r="AD53" s="174"/>
      <c r="AE53" s="175"/>
      <c r="AF53" s="14" t="s">
        <v>151</v>
      </c>
      <c r="AG53" s="13">
        <v>0</v>
      </c>
      <c r="AH53" s="13">
        <v>0</v>
      </c>
      <c r="AJ53" s="174"/>
      <c r="AK53" s="175"/>
      <c r="AL53" s="14" t="s">
        <v>151</v>
      </c>
      <c r="AM53" s="13">
        <v>20</v>
      </c>
      <c r="AN53" s="13">
        <v>0.16</v>
      </c>
      <c r="AP53" s="174"/>
      <c r="AQ53" s="175"/>
      <c r="AR53" s="14" t="s">
        <v>151</v>
      </c>
      <c r="AS53" s="13">
        <v>0</v>
      </c>
      <c r="AT53" s="13">
        <v>0</v>
      </c>
      <c r="BB53" s="174"/>
      <c r="BC53" s="175"/>
      <c r="BD53" s="14" t="s">
        <v>151</v>
      </c>
      <c r="BE53" s="13">
        <v>0</v>
      </c>
      <c r="BF53" s="13">
        <v>0</v>
      </c>
    </row>
    <row r="54" spans="2:58" ht="30" x14ac:dyDescent="0.35">
      <c r="B54" s="33" t="s">
        <v>45</v>
      </c>
      <c r="C54" s="22" t="s">
        <v>184</v>
      </c>
      <c r="D54" s="57">
        <f>_xlfn.XLOOKUP($B54,'(3) SKT 51%'!$B$5:$B$40,'(3) SKT 51%'!$D$5:$D$40)</f>
        <v>32575</v>
      </c>
      <c r="E54" s="95">
        <f t="shared" si="3"/>
        <v>31</v>
      </c>
      <c r="F54" s="103">
        <f t="shared" si="4"/>
        <v>9.5165003837298534E-2</v>
      </c>
      <c r="AD54" s="174"/>
      <c r="AE54" s="175"/>
      <c r="AF54" s="14" t="s">
        <v>152</v>
      </c>
      <c r="AG54" s="13">
        <v>0</v>
      </c>
      <c r="AH54" s="13">
        <v>0</v>
      </c>
      <c r="AJ54" s="174"/>
      <c r="AK54" s="175"/>
      <c r="AL54" s="14" t="s">
        <v>152</v>
      </c>
      <c r="AM54" s="13">
        <v>1</v>
      </c>
      <c r="AN54" s="13">
        <v>0.01</v>
      </c>
      <c r="AP54" s="174"/>
      <c r="AQ54" s="175"/>
      <c r="AR54" s="14" t="s">
        <v>152</v>
      </c>
      <c r="AS54" s="13">
        <v>0</v>
      </c>
      <c r="AT54" s="13">
        <v>0</v>
      </c>
      <c r="BB54" s="174"/>
      <c r="BC54" s="175"/>
      <c r="BD54" s="14" t="s">
        <v>152</v>
      </c>
      <c r="BE54" s="13">
        <v>0</v>
      </c>
      <c r="BF54" s="13">
        <v>0</v>
      </c>
    </row>
    <row r="55" spans="2:58" ht="20" x14ac:dyDescent="0.35">
      <c r="B55" s="34" t="s">
        <v>55</v>
      </c>
      <c r="C55" s="26" t="s">
        <v>185</v>
      </c>
      <c r="D55" s="58">
        <f>_xlfn.XLOOKUP($B55,'(3) SKT 51%'!$B$5:$B$40,'(3) SKT 51%'!$D$5:$D$40)</f>
        <v>64582</v>
      </c>
      <c r="E55" s="95">
        <f t="shared" si="3"/>
        <v>223</v>
      </c>
      <c r="F55" s="103">
        <f t="shared" si="4"/>
        <v>0.34529745130222045</v>
      </c>
      <c r="AD55" s="174"/>
      <c r="AE55" s="175"/>
      <c r="AF55" s="14" t="s">
        <v>153</v>
      </c>
      <c r="AG55" s="15">
        <v>25247</v>
      </c>
      <c r="AH55" s="13">
        <v>74.510000000000005</v>
      </c>
      <c r="AJ55" s="174"/>
      <c r="AK55" s="175"/>
      <c r="AL55" s="14" t="s">
        <v>153</v>
      </c>
      <c r="AM55" s="15">
        <v>10420</v>
      </c>
      <c r="AN55" s="13">
        <v>84.31</v>
      </c>
      <c r="AP55" s="174"/>
      <c r="AQ55" s="175"/>
      <c r="AR55" s="14" t="s">
        <v>153</v>
      </c>
      <c r="AS55" s="15">
        <v>32748</v>
      </c>
      <c r="AT55" s="13">
        <v>99.54</v>
      </c>
      <c r="BB55" s="174"/>
      <c r="BC55" s="175"/>
      <c r="BD55" s="14" t="s">
        <v>153</v>
      </c>
      <c r="BE55" s="15">
        <v>16786</v>
      </c>
      <c r="BF55" s="13">
        <v>85.71</v>
      </c>
    </row>
    <row r="56" spans="2:58" ht="20" x14ac:dyDescent="0.35">
      <c r="B56" s="33" t="s">
        <v>71</v>
      </c>
      <c r="C56" s="22" t="s">
        <v>186</v>
      </c>
      <c r="D56" s="57">
        <f>_xlfn.XLOOKUP($B56,'(3) SKT 51%'!$B$5:$B$40,'(3) SKT 51%'!$D$5:$D$40)</f>
        <v>19585</v>
      </c>
      <c r="E56" s="95">
        <f t="shared" si="3"/>
        <v>2249</v>
      </c>
      <c r="F56" s="103">
        <f t="shared" si="4"/>
        <v>11.48327801889201</v>
      </c>
      <c r="AD56" s="173"/>
      <c r="AE56" s="173"/>
      <c r="AF56" s="16" t="s">
        <v>154</v>
      </c>
      <c r="AG56" s="17">
        <v>33885</v>
      </c>
      <c r="AH56" s="18"/>
      <c r="AJ56" s="173"/>
      <c r="AK56" s="173"/>
      <c r="AL56" s="16" t="s">
        <v>154</v>
      </c>
      <c r="AM56" s="17">
        <v>12359</v>
      </c>
      <c r="AN56" s="18"/>
      <c r="AP56" s="173"/>
      <c r="AQ56" s="173"/>
      <c r="AR56" s="16" t="s">
        <v>154</v>
      </c>
      <c r="AS56" s="17">
        <v>32899</v>
      </c>
      <c r="AT56" s="18"/>
      <c r="BB56" s="173"/>
      <c r="BC56" s="173"/>
      <c r="BD56" s="16" t="s">
        <v>154</v>
      </c>
      <c r="BE56" s="17">
        <v>19585</v>
      </c>
      <c r="BF56" s="18"/>
    </row>
    <row r="57" spans="2:58" ht="20" x14ac:dyDescent="0.35">
      <c r="B57" s="34" t="s">
        <v>21</v>
      </c>
      <c r="C57" s="26" t="s">
        <v>187</v>
      </c>
      <c r="D57" s="58">
        <f>_xlfn.XLOOKUP($B57,'(3) SKT 51%'!$B$5:$B$40,'(3) SKT 51%'!$D$5:$D$40)</f>
        <v>25951</v>
      </c>
      <c r="E57" s="95">
        <f t="shared" si="3"/>
        <v>805</v>
      </c>
      <c r="F57" s="103">
        <f t="shared" si="4"/>
        <v>3.1019999229316793</v>
      </c>
      <c r="AD57" s="174">
        <v>6</v>
      </c>
      <c r="AE57" s="175" t="s">
        <v>101</v>
      </c>
      <c r="AF57" s="14" t="s">
        <v>145</v>
      </c>
      <c r="AG57" s="13">
        <v>208</v>
      </c>
      <c r="AH57" s="13">
        <v>0.97</v>
      </c>
      <c r="AJ57" s="173"/>
      <c r="AK57" s="173"/>
      <c r="AL57" s="16" t="s">
        <v>155</v>
      </c>
      <c r="AM57" s="17">
        <v>64005</v>
      </c>
      <c r="AN57" s="18"/>
      <c r="AP57" s="173"/>
      <c r="AQ57" s="173"/>
      <c r="AR57" s="16" t="s">
        <v>155</v>
      </c>
      <c r="AS57" s="17">
        <v>164646</v>
      </c>
      <c r="AT57" s="18"/>
      <c r="BB57" s="173"/>
      <c r="BC57" s="173"/>
      <c r="BD57" s="16" t="s">
        <v>155</v>
      </c>
      <c r="BE57" s="17">
        <v>111430</v>
      </c>
      <c r="BF57" s="18"/>
    </row>
    <row r="58" spans="2:58" x14ac:dyDescent="0.35">
      <c r="B58" s="33" t="s">
        <v>33</v>
      </c>
      <c r="C58" s="22" t="s">
        <v>188</v>
      </c>
      <c r="D58" s="57">
        <f>_xlfn.XLOOKUP($B58,'(3) SKT 51%'!$B$5:$B$40,'(3) SKT 51%'!$D$5:$D$40)</f>
        <v>21338</v>
      </c>
      <c r="E58" s="95">
        <f t="shared" si="3"/>
        <v>330</v>
      </c>
      <c r="F58" s="103">
        <f t="shared" si="4"/>
        <v>1.5465366950979473</v>
      </c>
      <c r="AD58" s="174"/>
      <c r="AE58" s="175"/>
      <c r="AF58" s="14" t="s">
        <v>146</v>
      </c>
      <c r="AG58" s="13">
        <v>397</v>
      </c>
      <c r="AH58" s="13">
        <v>1.86</v>
      </c>
      <c r="BB58" s="176"/>
      <c r="BC58" s="176"/>
      <c r="BD58" s="176"/>
      <c r="BE58" s="176"/>
      <c r="BF58" s="176"/>
    </row>
    <row r="59" spans="2:58" ht="30" x14ac:dyDescent="0.35">
      <c r="B59" s="34" t="s">
        <v>23</v>
      </c>
      <c r="C59" s="26" t="s">
        <v>189</v>
      </c>
      <c r="D59" s="58">
        <f>_xlfn.XLOOKUP($B59,'(3) SKT 51%'!$B$5:$B$40,'(3) SKT 51%'!$D$5:$D$40)</f>
        <v>28671</v>
      </c>
      <c r="E59" s="95">
        <f t="shared" si="3"/>
        <v>229</v>
      </c>
      <c r="F59" s="103">
        <f t="shared" si="4"/>
        <v>0.79871647309127691</v>
      </c>
      <c r="AD59" s="174"/>
      <c r="AE59" s="175"/>
      <c r="AF59" s="14" t="s">
        <v>147</v>
      </c>
      <c r="AG59" s="13">
        <v>408</v>
      </c>
      <c r="AH59" s="13">
        <v>1.91</v>
      </c>
    </row>
    <row r="60" spans="2:58" ht="20" x14ac:dyDescent="0.35">
      <c r="B60" s="33" t="s">
        <v>75</v>
      </c>
      <c r="C60" s="22" t="s">
        <v>190</v>
      </c>
      <c r="D60" s="57">
        <f>_xlfn.XLOOKUP($B60,'(3) SKT 51%'!$B$5:$B$40,'(3) SKT 51%'!$D$5:$D$40)</f>
        <v>24878</v>
      </c>
      <c r="E60" s="95">
        <f t="shared" si="3"/>
        <v>263</v>
      </c>
      <c r="F60" s="103">
        <f t="shared" si="4"/>
        <v>1.057158935605756</v>
      </c>
      <c r="AD60" s="174"/>
      <c r="AE60" s="175"/>
      <c r="AF60" s="14" t="s">
        <v>148</v>
      </c>
      <c r="AG60" s="13">
        <v>141</v>
      </c>
      <c r="AH60" s="13">
        <v>0.66</v>
      </c>
    </row>
    <row r="61" spans="2:58" ht="30" x14ac:dyDescent="0.35">
      <c r="B61" s="34" t="s">
        <v>39</v>
      </c>
      <c r="C61" s="26" t="s">
        <v>191</v>
      </c>
      <c r="D61" s="58">
        <f>_xlfn.XLOOKUP($B61,'(3) SKT 51%'!$B$5:$B$40,'(3) SKT 51%'!$D$5:$D$40)</f>
        <v>9914</v>
      </c>
      <c r="E61" s="95">
        <f t="shared" si="3"/>
        <v>347</v>
      </c>
      <c r="F61" s="103">
        <f t="shared" si="4"/>
        <v>3.5001008674601577</v>
      </c>
      <c r="AD61" s="174"/>
      <c r="AE61" s="175"/>
      <c r="AF61" s="14" t="s">
        <v>149</v>
      </c>
      <c r="AG61" s="13">
        <v>1</v>
      </c>
      <c r="AH61" s="13">
        <v>0</v>
      </c>
    </row>
    <row r="62" spans="2:58" ht="20" x14ac:dyDescent="0.35">
      <c r="B62" s="33" t="s">
        <v>61</v>
      </c>
      <c r="C62" s="22" t="s">
        <v>192</v>
      </c>
      <c r="D62" s="57">
        <f>_xlfn.XLOOKUP($B62,'(3) SKT 51%'!$B$5:$B$40,'(3) SKT 51%'!$D$5:$D$40)</f>
        <v>16730</v>
      </c>
      <c r="E62" s="95">
        <f t="shared" si="3"/>
        <v>713</v>
      </c>
      <c r="F62" s="103">
        <f t="shared" si="4"/>
        <v>4.2618051404662278</v>
      </c>
      <c r="AD62" s="174"/>
      <c r="AE62" s="175"/>
      <c r="AF62" s="14" t="s">
        <v>150</v>
      </c>
      <c r="AG62" s="13">
        <v>0</v>
      </c>
      <c r="AH62" s="13">
        <v>0</v>
      </c>
    </row>
    <row r="63" spans="2:58" x14ac:dyDescent="0.35">
      <c r="B63" s="34" t="s">
        <v>67</v>
      </c>
      <c r="C63" s="26" t="s">
        <v>193</v>
      </c>
      <c r="D63" s="58">
        <f>_xlfn.XLOOKUP($B63,'(3) SKT 51%'!$B$5:$B$40,'(3) SKT 51%'!$D$5:$D$40)</f>
        <v>27926</v>
      </c>
      <c r="E63" s="95">
        <f t="shared" si="3"/>
        <v>1657</v>
      </c>
      <c r="F63" s="103">
        <f t="shared" si="4"/>
        <v>5.9335386378285468</v>
      </c>
      <c r="AD63" s="174"/>
      <c r="AE63" s="175"/>
      <c r="AF63" s="14" t="s">
        <v>151</v>
      </c>
      <c r="AG63" s="13">
        <v>3</v>
      </c>
      <c r="AH63" s="13">
        <v>0.01</v>
      </c>
    </row>
    <row r="64" spans="2:58" ht="30" x14ac:dyDescent="0.35">
      <c r="B64" s="33" t="s">
        <v>35</v>
      </c>
      <c r="C64" s="22" t="s">
        <v>194</v>
      </c>
      <c r="D64" s="57">
        <f>_xlfn.XLOOKUP($B64,'(3) SKT 51%'!$B$5:$B$40,'(3) SKT 51%'!$D$5:$D$40)</f>
        <v>13669</v>
      </c>
      <c r="E64" s="95">
        <f t="shared" si="3"/>
        <v>122</v>
      </c>
      <c r="F64" s="103">
        <f t="shared" si="4"/>
        <v>0.8925305435657328</v>
      </c>
      <c r="AD64" s="174"/>
      <c r="AE64" s="175"/>
      <c r="AF64" s="14" t="s">
        <v>152</v>
      </c>
      <c r="AG64" s="13">
        <v>0</v>
      </c>
      <c r="AH64" s="13">
        <v>0</v>
      </c>
    </row>
    <row r="65" spans="2:34" ht="20" x14ac:dyDescent="0.35">
      <c r="B65" s="34" t="s">
        <v>37</v>
      </c>
      <c r="C65" s="26" t="s">
        <v>195</v>
      </c>
      <c r="D65" s="58">
        <f>_xlfn.XLOOKUP($B65,'(3) SKT 51%'!$B$5:$B$40,'(3) SKT 51%'!$D$5:$D$40)</f>
        <v>10100</v>
      </c>
      <c r="E65" s="95">
        <f t="shared" si="3"/>
        <v>158</v>
      </c>
      <c r="F65" s="103">
        <f t="shared" si="4"/>
        <v>1.5643564356435644</v>
      </c>
      <c r="AD65" s="174"/>
      <c r="AE65" s="175"/>
      <c r="AF65" s="14" t="s">
        <v>153</v>
      </c>
      <c r="AG65" s="15">
        <v>20180</v>
      </c>
      <c r="AH65" s="13">
        <v>94.57</v>
      </c>
    </row>
    <row r="66" spans="2:34" ht="20" x14ac:dyDescent="0.35">
      <c r="B66" s="33" t="s">
        <v>57</v>
      </c>
      <c r="C66" s="22" t="s">
        <v>196</v>
      </c>
      <c r="D66" s="57">
        <f>_xlfn.XLOOKUP($B66,'(3) SKT 51%'!$B$5:$B$40,'(3) SKT 51%'!$D$5:$D$40)</f>
        <v>26440</v>
      </c>
      <c r="E66" s="95">
        <f t="shared" si="3"/>
        <v>66</v>
      </c>
      <c r="F66" s="103">
        <f t="shared" si="4"/>
        <v>0.24962178517397882</v>
      </c>
      <c r="AD66" s="173"/>
      <c r="AE66" s="173"/>
      <c r="AF66" s="16" t="s">
        <v>154</v>
      </c>
      <c r="AG66" s="17">
        <v>21338</v>
      </c>
      <c r="AH66" s="18"/>
    </row>
    <row r="67" spans="2:34" ht="20" x14ac:dyDescent="0.35">
      <c r="B67" s="34" t="s">
        <v>41</v>
      </c>
      <c r="C67" s="26" t="s">
        <v>197</v>
      </c>
      <c r="D67" s="58">
        <f>_xlfn.XLOOKUP($B67,'(3) SKT 51%'!$B$5:$B$40,'(3) SKT 51%'!$D$5:$D$40)</f>
        <v>17963</v>
      </c>
      <c r="E67" s="95">
        <f t="shared" si="3"/>
        <v>130</v>
      </c>
      <c r="F67" s="103">
        <f t="shared" si="4"/>
        <v>0.72370984802093197</v>
      </c>
      <c r="AD67" s="173"/>
      <c r="AE67" s="173"/>
      <c r="AF67" s="16" t="s">
        <v>155</v>
      </c>
      <c r="AG67" s="17">
        <v>165497</v>
      </c>
      <c r="AH67" s="18"/>
    </row>
    <row r="68" spans="2:34" x14ac:dyDescent="0.35">
      <c r="B68" s="33" t="s">
        <v>25</v>
      </c>
      <c r="C68" s="22" t="s">
        <v>198</v>
      </c>
      <c r="D68" s="57">
        <f>_xlfn.XLOOKUP($B68,'(3) SKT 51%'!$B$5:$B$40,'(3) SKT 51%'!$D$5:$D$40)</f>
        <v>45487</v>
      </c>
      <c r="E68" s="95">
        <f t="shared" si="3"/>
        <v>3268</v>
      </c>
      <c r="F68" s="103">
        <f t="shared" si="4"/>
        <v>7.1844702882142144</v>
      </c>
    </row>
    <row r="69" spans="2:34" x14ac:dyDescent="0.35">
      <c r="B69" s="34" t="s">
        <v>65</v>
      </c>
      <c r="C69" s="26" t="s">
        <v>199</v>
      </c>
      <c r="D69" s="58">
        <f>_xlfn.XLOOKUP($B69,'(3) SKT 51%'!$B$5:$B$40,'(3) SKT 51%'!$D$5:$D$40)</f>
        <v>28010</v>
      </c>
      <c r="E69" s="95">
        <f t="shared" si="3"/>
        <v>534</v>
      </c>
      <c r="F69" s="103">
        <f t="shared" si="4"/>
        <v>1.9064619778650482</v>
      </c>
    </row>
    <row r="70" spans="2:34" x14ac:dyDescent="0.35">
      <c r="B70" s="33" t="s">
        <v>29</v>
      </c>
      <c r="C70" s="22" t="s">
        <v>200</v>
      </c>
      <c r="D70" s="57">
        <f>_xlfn.XLOOKUP($B70,'(3) SKT 51%'!$B$5:$B$40,'(3) SKT 51%'!$D$5:$D$40)</f>
        <v>12975</v>
      </c>
      <c r="E70" s="95">
        <f t="shared" si="3"/>
        <v>419</v>
      </c>
      <c r="F70" s="103">
        <f t="shared" si="4"/>
        <v>3.2292870905587669</v>
      </c>
    </row>
    <row r="71" spans="2:34" x14ac:dyDescent="0.35">
      <c r="B71" s="34" t="s">
        <v>59</v>
      </c>
      <c r="C71" s="26" t="s">
        <v>201</v>
      </c>
      <c r="D71" s="58">
        <f>_xlfn.XLOOKUP($B71,'(3) SKT 51%'!$B$5:$B$40,'(3) SKT 51%'!$D$5:$D$40)</f>
        <v>34636</v>
      </c>
      <c r="E71" s="95">
        <f t="shared" si="3"/>
        <v>435</v>
      </c>
      <c r="F71" s="103">
        <f t="shared" si="4"/>
        <v>1.2559186973091581</v>
      </c>
    </row>
    <row r="72" spans="2:34" x14ac:dyDescent="0.35">
      <c r="B72" s="33" t="s">
        <v>73</v>
      </c>
      <c r="C72" s="22" t="s">
        <v>202</v>
      </c>
      <c r="D72" s="57">
        <f>_xlfn.XLOOKUP($B72,'(3) SKT 51%'!$B$5:$B$40,'(3) SKT 51%'!$D$5:$D$40)</f>
        <v>29235</v>
      </c>
      <c r="E72" s="95">
        <f t="shared" si="3"/>
        <v>103</v>
      </c>
      <c r="F72" s="103">
        <f t="shared" si="4"/>
        <v>0.35231742774072172</v>
      </c>
    </row>
    <row r="73" spans="2:34" x14ac:dyDescent="0.35">
      <c r="B73" s="34" t="s">
        <v>77</v>
      </c>
      <c r="C73" s="26" t="s">
        <v>203</v>
      </c>
      <c r="D73" s="58">
        <f>_xlfn.XLOOKUP($B73,'(3) SKT 51%'!$B$5:$B$40,'(3) SKT 51%'!$D$5:$D$40)</f>
        <v>27830</v>
      </c>
      <c r="E73" s="95">
        <f t="shared" si="3"/>
        <v>486</v>
      </c>
      <c r="F73" s="103">
        <f t="shared" si="4"/>
        <v>1.7463169241825369</v>
      </c>
    </row>
    <row r="74" spans="2:34" x14ac:dyDescent="0.35">
      <c r="B74" s="33" t="s">
        <v>49</v>
      </c>
      <c r="C74" s="22" t="s">
        <v>204</v>
      </c>
      <c r="D74" s="57">
        <f>_xlfn.XLOOKUP($B74,'(3) SKT 51%'!$B$5:$B$40,'(3) SKT 51%'!$D$5:$D$40)</f>
        <v>19608</v>
      </c>
      <c r="E74" s="95">
        <f t="shared" si="3"/>
        <v>677</v>
      </c>
      <c r="F74" s="103">
        <f t="shared" si="4"/>
        <v>3.4526723786209712</v>
      </c>
    </row>
    <row r="75" spans="2:34" x14ac:dyDescent="0.35">
      <c r="B75" s="34" t="s">
        <v>63</v>
      </c>
      <c r="C75" s="26" t="s">
        <v>205</v>
      </c>
      <c r="D75" s="58">
        <f>_xlfn.XLOOKUP($B75,'(3) SKT 51%'!$B$5:$B$40,'(3) SKT 51%'!$D$5:$D$40)</f>
        <v>15141</v>
      </c>
      <c r="E75" s="95">
        <f t="shared" si="3"/>
        <v>1128</v>
      </c>
      <c r="F75" s="103">
        <f t="shared" si="4"/>
        <v>7.4499702793738853</v>
      </c>
    </row>
    <row r="76" spans="2:34" ht="25" x14ac:dyDescent="0.35">
      <c r="B76" s="33" t="s">
        <v>53</v>
      </c>
      <c r="C76" s="22" t="s">
        <v>206</v>
      </c>
      <c r="D76" s="57">
        <f>_xlfn.XLOOKUP($B76,'(3) SKT 51%'!$B$5:$B$40,'(3) SKT 51%'!$D$5:$D$40)</f>
        <v>32899</v>
      </c>
      <c r="E76" s="95">
        <f t="shared" si="3"/>
        <v>802</v>
      </c>
      <c r="F76" s="103">
        <f t="shared" si="4"/>
        <v>2.4377640657770754</v>
      </c>
    </row>
    <row r="77" spans="2:34" ht="25" x14ac:dyDescent="0.35">
      <c r="B77" s="34" t="s">
        <v>47</v>
      </c>
      <c r="C77" s="26" t="s">
        <v>207</v>
      </c>
      <c r="D77" s="58">
        <f>_xlfn.XLOOKUP($B77,'(3) SKT 51%'!$B$5:$B$40,'(3) SKT 51%'!$D$5:$D$40)</f>
        <v>49248</v>
      </c>
      <c r="E77" s="95">
        <f t="shared" si="3"/>
        <v>350</v>
      </c>
      <c r="F77" s="103">
        <f t="shared" si="4"/>
        <v>0.71068875893437289</v>
      </c>
    </row>
    <row r="78" spans="2:34" x14ac:dyDescent="0.35">
      <c r="B78" s="33" t="s">
        <v>51</v>
      </c>
      <c r="C78" s="22" t="s">
        <v>208</v>
      </c>
      <c r="D78" s="57">
        <f>_xlfn.XLOOKUP($B78,'(3) SKT 51%'!$B$5:$B$40,'(3) SKT 51%'!$D$5:$D$40)</f>
        <v>30316</v>
      </c>
      <c r="E78" s="95">
        <f t="shared" si="3"/>
        <v>664</v>
      </c>
      <c r="F78" s="103">
        <f t="shared" si="4"/>
        <v>2.1902625676210583</v>
      </c>
    </row>
    <row r="79" spans="2:34" x14ac:dyDescent="0.35">
      <c r="B79" s="35" t="s">
        <v>27</v>
      </c>
      <c r="C79" s="29" t="s">
        <v>209</v>
      </c>
      <c r="D79" s="59">
        <f>_xlfn.XLOOKUP($B79,'(3) SKT 51%'!$B$5:$B$40,'(3) SKT 51%'!$D$5:$D$40)</f>
        <v>23141</v>
      </c>
      <c r="E79" s="95">
        <f t="shared" si="3"/>
        <v>239</v>
      </c>
      <c r="F79" s="103">
        <f t="shared" si="4"/>
        <v>1.0327989283090617</v>
      </c>
    </row>
  </sheetData>
  <sortState xmlns:xlrd2="http://schemas.microsoft.com/office/spreadsheetml/2017/richdata2" ref="B5:P40">
    <sortCondition ref="B5:B40"/>
  </sortState>
  <mergeCells count="126">
    <mergeCell ref="BH37:BI37"/>
    <mergeCell ref="BH5:BL5"/>
    <mergeCell ref="B2:P2"/>
    <mergeCell ref="BB58:BF58"/>
    <mergeCell ref="BH7:BH15"/>
    <mergeCell ref="BI7:BI15"/>
    <mergeCell ref="BH16:BI16"/>
    <mergeCell ref="BH17:BH25"/>
    <mergeCell ref="BI17:BI25"/>
    <mergeCell ref="BH26:BI26"/>
    <mergeCell ref="BH27:BH35"/>
    <mergeCell ref="BI27:BI35"/>
    <mergeCell ref="BH36:BI36"/>
    <mergeCell ref="BB46:BC46"/>
    <mergeCell ref="BB47:BB55"/>
    <mergeCell ref="BC47:BC55"/>
    <mergeCell ref="BB56:BC56"/>
    <mergeCell ref="BB57:BC57"/>
    <mergeCell ref="BB5:BF5"/>
    <mergeCell ref="BB26:BC26"/>
    <mergeCell ref="BB27:BB35"/>
    <mergeCell ref="BC27:BC35"/>
    <mergeCell ref="BB36:BC36"/>
    <mergeCell ref="BB37:BB45"/>
    <mergeCell ref="BC37:BC45"/>
    <mergeCell ref="AV5:AZ5"/>
    <mergeCell ref="BB7:BB15"/>
    <mergeCell ref="BC7:BC15"/>
    <mergeCell ref="BB16:BC16"/>
    <mergeCell ref="BB17:BB25"/>
    <mergeCell ref="BC17:BC25"/>
    <mergeCell ref="AW27:AW35"/>
    <mergeCell ref="AV36:AW36"/>
    <mergeCell ref="AV37:AV45"/>
    <mergeCell ref="AW37:AW45"/>
    <mergeCell ref="AV46:AW46"/>
    <mergeCell ref="AV47:AW47"/>
    <mergeCell ref="AP56:AQ56"/>
    <mergeCell ref="AP57:AQ57"/>
    <mergeCell ref="AP5:AT5"/>
    <mergeCell ref="AV7:AV15"/>
    <mergeCell ref="AW7:AW15"/>
    <mergeCell ref="AV16:AW16"/>
    <mergeCell ref="AV17:AV25"/>
    <mergeCell ref="AW17:AW25"/>
    <mergeCell ref="AV26:AW26"/>
    <mergeCell ref="AV27:AV35"/>
    <mergeCell ref="AQ27:AQ35"/>
    <mergeCell ref="AP36:AQ36"/>
    <mergeCell ref="AP37:AP45"/>
    <mergeCell ref="AQ37:AQ45"/>
    <mergeCell ref="AP46:AQ46"/>
    <mergeCell ref="AP47:AP55"/>
    <mergeCell ref="AQ47:AQ55"/>
    <mergeCell ref="AJ56:AK56"/>
    <mergeCell ref="AJ57:AK57"/>
    <mergeCell ref="AJ5:AN5"/>
    <mergeCell ref="AP7:AP15"/>
    <mergeCell ref="AQ7:AQ15"/>
    <mergeCell ref="AP16:AQ16"/>
    <mergeCell ref="AP17:AP25"/>
    <mergeCell ref="AQ17:AQ25"/>
    <mergeCell ref="AP26:AQ26"/>
    <mergeCell ref="AP27:AP35"/>
    <mergeCell ref="AJ36:AK36"/>
    <mergeCell ref="AJ37:AJ45"/>
    <mergeCell ref="AK37:AK45"/>
    <mergeCell ref="AJ46:AK46"/>
    <mergeCell ref="AJ47:AJ55"/>
    <mergeCell ref="AK47:AK55"/>
    <mergeCell ref="AD67:AE67"/>
    <mergeCell ref="AD5:AH5"/>
    <mergeCell ref="AJ7:AJ15"/>
    <mergeCell ref="AK7:AK15"/>
    <mergeCell ref="AJ16:AK16"/>
    <mergeCell ref="AJ17:AJ25"/>
    <mergeCell ref="AK17:AK25"/>
    <mergeCell ref="AJ26:AK26"/>
    <mergeCell ref="AJ27:AJ35"/>
    <mergeCell ref="AK27:AK35"/>
    <mergeCell ref="AD47:AD55"/>
    <mergeCell ref="AE47:AE55"/>
    <mergeCell ref="AD56:AE56"/>
    <mergeCell ref="AD57:AD65"/>
    <mergeCell ref="AE57:AE65"/>
    <mergeCell ref="AD66:AE66"/>
    <mergeCell ref="AD27:AD35"/>
    <mergeCell ref="AE27:AE35"/>
    <mergeCell ref="AD36:AE36"/>
    <mergeCell ref="AD37:AD45"/>
    <mergeCell ref="AE37:AE45"/>
    <mergeCell ref="AD46:AE46"/>
    <mergeCell ref="AD7:AD15"/>
    <mergeCell ref="AE7:AE15"/>
    <mergeCell ref="AD16:AE16"/>
    <mergeCell ref="AD17:AD25"/>
    <mergeCell ref="AE17:AE25"/>
    <mergeCell ref="AD26:AE26"/>
    <mergeCell ref="X36:Y36"/>
    <mergeCell ref="X37:X45"/>
    <mergeCell ref="Y37:Y45"/>
    <mergeCell ref="X46:Y46"/>
    <mergeCell ref="X47:Y47"/>
    <mergeCell ref="X5:AB5"/>
    <mergeCell ref="R47:S47"/>
    <mergeCell ref="R5:V5"/>
    <mergeCell ref="X7:X15"/>
    <mergeCell ref="Y7:Y15"/>
    <mergeCell ref="X16:Y16"/>
    <mergeCell ref="X17:X25"/>
    <mergeCell ref="Y17:Y25"/>
    <mergeCell ref="X26:Y26"/>
    <mergeCell ref="X27:X35"/>
    <mergeCell ref="Y27:Y35"/>
    <mergeCell ref="R27:R35"/>
    <mergeCell ref="S27:S35"/>
    <mergeCell ref="R36:S36"/>
    <mergeCell ref="R37:R45"/>
    <mergeCell ref="S37:S45"/>
    <mergeCell ref="R46:S46"/>
    <mergeCell ref="R7:R15"/>
    <mergeCell ref="S7:S15"/>
    <mergeCell ref="R16:S16"/>
    <mergeCell ref="R17:R25"/>
    <mergeCell ref="S17:S25"/>
    <mergeCell ref="R26:S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76AD-A388-44AE-8C15-499652049ED3}">
  <dimension ref="B2:G40"/>
  <sheetViews>
    <sheetView workbookViewId="0">
      <selection activeCell="I14" sqref="I14"/>
    </sheetView>
  </sheetViews>
  <sheetFormatPr defaultRowHeight="14.5" x14ac:dyDescent="0.35"/>
  <cols>
    <col min="2" max="2" width="7.6328125" customWidth="1"/>
    <col min="3" max="3" width="17.26953125" customWidth="1"/>
    <col min="4" max="5" width="18.1796875" customWidth="1"/>
    <col min="6" max="7" width="14.54296875" customWidth="1"/>
  </cols>
  <sheetData>
    <row r="2" spans="2:7" ht="28" customHeight="1" x14ac:dyDescent="0.35">
      <c r="B2" s="171" t="s">
        <v>163</v>
      </c>
      <c r="C2" s="171"/>
      <c r="D2" s="171"/>
      <c r="E2" s="171"/>
      <c r="F2" s="171"/>
      <c r="G2" s="171"/>
    </row>
    <row r="4" spans="2:7" ht="34" customHeight="1" x14ac:dyDescent="0.35">
      <c r="B4" s="20" t="s">
        <v>0</v>
      </c>
      <c r="C4" s="19" t="s">
        <v>1</v>
      </c>
      <c r="D4" s="19" t="s">
        <v>139</v>
      </c>
      <c r="E4" s="19" t="s">
        <v>140</v>
      </c>
      <c r="F4" s="19" t="s">
        <v>161</v>
      </c>
      <c r="G4" s="21" t="s">
        <v>162</v>
      </c>
    </row>
    <row r="5" spans="2:7" x14ac:dyDescent="0.35">
      <c r="B5" s="42" t="s">
        <v>55</v>
      </c>
      <c r="C5" s="25" t="s">
        <v>56</v>
      </c>
      <c r="D5" s="39">
        <v>60704</v>
      </c>
      <c r="E5" s="39">
        <v>64582</v>
      </c>
      <c r="F5" s="45">
        <v>3878</v>
      </c>
      <c r="G5" s="36">
        <f t="shared" ref="G5:G40" si="0">RANK(F5,$F$5:$F$40)</f>
        <v>1</v>
      </c>
    </row>
    <row r="6" spans="2:7" x14ac:dyDescent="0.35">
      <c r="B6" s="43" t="s">
        <v>25</v>
      </c>
      <c r="C6" s="28" t="s">
        <v>26</v>
      </c>
      <c r="D6" s="40">
        <v>42168</v>
      </c>
      <c r="E6" s="40">
        <v>45487</v>
      </c>
      <c r="F6" s="46">
        <v>3319</v>
      </c>
      <c r="G6" s="37">
        <f t="shared" si="0"/>
        <v>2</v>
      </c>
    </row>
    <row r="7" spans="2:7" x14ac:dyDescent="0.35">
      <c r="B7" s="42" t="s">
        <v>47</v>
      </c>
      <c r="C7" s="25" t="s">
        <v>48</v>
      </c>
      <c r="D7" s="39">
        <v>46229</v>
      </c>
      <c r="E7" s="39">
        <v>49248</v>
      </c>
      <c r="F7" s="45">
        <v>3019</v>
      </c>
      <c r="G7" s="36">
        <f t="shared" si="0"/>
        <v>3</v>
      </c>
    </row>
    <row r="8" spans="2:7" x14ac:dyDescent="0.35">
      <c r="B8" s="43" t="s">
        <v>45</v>
      </c>
      <c r="C8" s="28" t="s">
        <v>46</v>
      </c>
      <c r="D8" s="40">
        <v>30478</v>
      </c>
      <c r="E8" s="40">
        <v>32575</v>
      </c>
      <c r="F8" s="46">
        <v>2097</v>
      </c>
      <c r="G8" s="37">
        <f t="shared" si="0"/>
        <v>4</v>
      </c>
    </row>
    <row r="9" spans="2:7" x14ac:dyDescent="0.35">
      <c r="B9" s="42" t="s">
        <v>59</v>
      </c>
      <c r="C9" s="25" t="s">
        <v>60</v>
      </c>
      <c r="D9" s="39">
        <v>32890</v>
      </c>
      <c r="E9" s="39">
        <v>34636</v>
      </c>
      <c r="F9" s="45">
        <v>1746</v>
      </c>
      <c r="G9" s="36">
        <f t="shared" si="0"/>
        <v>5</v>
      </c>
    </row>
    <row r="10" spans="2:7" x14ac:dyDescent="0.35">
      <c r="B10" s="43" t="s">
        <v>31</v>
      </c>
      <c r="C10" s="28" t="s">
        <v>32</v>
      </c>
      <c r="D10" s="40">
        <v>32343</v>
      </c>
      <c r="E10" s="40">
        <v>33885</v>
      </c>
      <c r="F10" s="46">
        <v>1542</v>
      </c>
      <c r="G10" s="37">
        <f t="shared" si="0"/>
        <v>6</v>
      </c>
    </row>
    <row r="11" spans="2:7" x14ac:dyDescent="0.35">
      <c r="B11" s="42" t="s">
        <v>51</v>
      </c>
      <c r="C11" s="25" t="s">
        <v>52</v>
      </c>
      <c r="D11" s="39">
        <v>28952</v>
      </c>
      <c r="E11" s="39">
        <v>30316</v>
      </c>
      <c r="F11" s="45">
        <v>1364</v>
      </c>
      <c r="G11" s="36">
        <f t="shared" si="0"/>
        <v>7</v>
      </c>
    </row>
    <row r="12" spans="2:7" x14ac:dyDescent="0.35">
      <c r="B12" s="43" t="s">
        <v>23</v>
      </c>
      <c r="C12" s="28" t="s">
        <v>24</v>
      </c>
      <c r="D12" s="40">
        <v>27386</v>
      </c>
      <c r="E12" s="40">
        <v>28671</v>
      </c>
      <c r="F12" s="46">
        <v>1285</v>
      </c>
      <c r="G12" s="37">
        <f t="shared" si="0"/>
        <v>8</v>
      </c>
    </row>
    <row r="13" spans="2:7" x14ac:dyDescent="0.35">
      <c r="B13" s="42" t="s">
        <v>65</v>
      </c>
      <c r="C13" s="25" t="s">
        <v>66</v>
      </c>
      <c r="D13" s="39">
        <v>26806</v>
      </c>
      <c r="E13" s="39">
        <v>28010</v>
      </c>
      <c r="F13" s="45">
        <v>1204</v>
      </c>
      <c r="G13" s="36">
        <f t="shared" si="0"/>
        <v>9</v>
      </c>
    </row>
    <row r="14" spans="2:7" x14ac:dyDescent="0.35">
      <c r="B14" s="43" t="s">
        <v>57</v>
      </c>
      <c r="C14" s="28" t="s">
        <v>58</v>
      </c>
      <c r="D14" s="40">
        <v>25625</v>
      </c>
      <c r="E14" s="40">
        <v>26440</v>
      </c>
      <c r="F14" s="46">
        <v>815</v>
      </c>
      <c r="G14" s="37">
        <f t="shared" si="0"/>
        <v>10</v>
      </c>
    </row>
    <row r="15" spans="2:7" x14ac:dyDescent="0.35">
      <c r="B15" s="42" t="s">
        <v>53</v>
      </c>
      <c r="C15" s="25" t="s">
        <v>54</v>
      </c>
      <c r="D15" s="39">
        <v>32290</v>
      </c>
      <c r="E15" s="39">
        <v>32899</v>
      </c>
      <c r="F15" s="45">
        <v>609</v>
      </c>
      <c r="G15" s="36">
        <f t="shared" si="0"/>
        <v>11</v>
      </c>
    </row>
    <row r="16" spans="2:7" x14ac:dyDescent="0.35">
      <c r="B16" s="43" t="s">
        <v>77</v>
      </c>
      <c r="C16" s="28" t="s">
        <v>78</v>
      </c>
      <c r="D16" s="40">
        <v>27284</v>
      </c>
      <c r="E16" s="40">
        <v>27830</v>
      </c>
      <c r="F16" s="46">
        <v>546</v>
      </c>
      <c r="G16" s="37">
        <f t="shared" si="0"/>
        <v>12</v>
      </c>
    </row>
    <row r="17" spans="2:7" x14ac:dyDescent="0.35">
      <c r="B17" s="42" t="s">
        <v>33</v>
      </c>
      <c r="C17" s="25" t="s">
        <v>34</v>
      </c>
      <c r="D17" s="39">
        <v>20992</v>
      </c>
      <c r="E17" s="39">
        <v>21338</v>
      </c>
      <c r="F17" s="45">
        <v>346</v>
      </c>
      <c r="G17" s="36">
        <f t="shared" si="0"/>
        <v>13</v>
      </c>
    </row>
    <row r="18" spans="2:7" x14ac:dyDescent="0.35">
      <c r="B18" s="43" t="s">
        <v>15</v>
      </c>
      <c r="C18" s="28" t="s">
        <v>16</v>
      </c>
      <c r="D18" s="40">
        <v>30287</v>
      </c>
      <c r="E18" s="40">
        <v>30593</v>
      </c>
      <c r="F18" s="46">
        <v>306</v>
      </c>
      <c r="G18" s="37">
        <f t="shared" si="0"/>
        <v>14</v>
      </c>
    </row>
    <row r="19" spans="2:7" x14ac:dyDescent="0.35">
      <c r="B19" s="42" t="s">
        <v>75</v>
      </c>
      <c r="C19" s="25" t="s">
        <v>76</v>
      </c>
      <c r="D19" s="39">
        <v>24602</v>
      </c>
      <c r="E19" s="39">
        <v>24878</v>
      </c>
      <c r="F19" s="45">
        <v>276</v>
      </c>
      <c r="G19" s="36">
        <f t="shared" si="0"/>
        <v>15</v>
      </c>
    </row>
    <row r="20" spans="2:7" x14ac:dyDescent="0.35">
      <c r="B20" s="43" t="s">
        <v>41</v>
      </c>
      <c r="C20" s="28" t="s">
        <v>42</v>
      </c>
      <c r="D20" s="40">
        <v>17692</v>
      </c>
      <c r="E20" s="40">
        <v>17963</v>
      </c>
      <c r="F20" s="46">
        <v>271</v>
      </c>
      <c r="G20" s="37">
        <f t="shared" si="0"/>
        <v>16</v>
      </c>
    </row>
    <row r="21" spans="2:7" x14ac:dyDescent="0.35">
      <c r="B21" s="42" t="s">
        <v>35</v>
      </c>
      <c r="C21" s="25" t="s">
        <v>36</v>
      </c>
      <c r="D21" s="39">
        <v>13408</v>
      </c>
      <c r="E21" s="39">
        <v>13669</v>
      </c>
      <c r="F21" s="45">
        <v>261</v>
      </c>
      <c r="G21" s="36">
        <f t="shared" si="0"/>
        <v>17</v>
      </c>
    </row>
    <row r="22" spans="2:7" x14ac:dyDescent="0.35">
      <c r="B22" s="43" t="s">
        <v>61</v>
      </c>
      <c r="C22" s="28" t="s">
        <v>62</v>
      </c>
      <c r="D22" s="40">
        <v>16510</v>
      </c>
      <c r="E22" s="40">
        <v>16730</v>
      </c>
      <c r="F22" s="46">
        <v>220</v>
      </c>
      <c r="G22" s="37">
        <f t="shared" si="0"/>
        <v>18</v>
      </c>
    </row>
    <row r="23" spans="2:7" x14ac:dyDescent="0.35">
      <c r="B23" s="42" t="s">
        <v>19</v>
      </c>
      <c r="C23" s="25" t="s">
        <v>20</v>
      </c>
      <c r="D23" s="39">
        <v>16332</v>
      </c>
      <c r="E23" s="39">
        <v>16539</v>
      </c>
      <c r="F23" s="45">
        <v>207</v>
      </c>
      <c r="G23" s="36">
        <f t="shared" si="0"/>
        <v>19</v>
      </c>
    </row>
    <row r="24" spans="2:7" x14ac:dyDescent="0.35">
      <c r="B24" s="43" t="s">
        <v>21</v>
      </c>
      <c r="C24" s="28" t="s">
        <v>22</v>
      </c>
      <c r="D24" s="40">
        <v>25769</v>
      </c>
      <c r="E24" s="40">
        <v>25951</v>
      </c>
      <c r="F24" s="46">
        <v>182</v>
      </c>
      <c r="G24" s="37">
        <f t="shared" si="0"/>
        <v>20</v>
      </c>
    </row>
    <row r="25" spans="2:7" x14ac:dyDescent="0.35">
      <c r="B25" s="42" t="s">
        <v>13</v>
      </c>
      <c r="C25" s="25" t="s">
        <v>14</v>
      </c>
      <c r="D25" s="39">
        <v>13163</v>
      </c>
      <c r="E25" s="39">
        <v>13329</v>
      </c>
      <c r="F25" s="45">
        <v>166</v>
      </c>
      <c r="G25" s="36">
        <f t="shared" si="0"/>
        <v>21</v>
      </c>
    </row>
    <row r="26" spans="2:7" x14ac:dyDescent="0.35">
      <c r="B26" s="43" t="s">
        <v>71</v>
      </c>
      <c r="C26" s="28" t="s">
        <v>72</v>
      </c>
      <c r="D26" s="40">
        <v>19431</v>
      </c>
      <c r="E26" s="40">
        <v>19585</v>
      </c>
      <c r="F26" s="46">
        <v>154</v>
      </c>
      <c r="G26" s="37">
        <f t="shared" si="0"/>
        <v>22</v>
      </c>
    </row>
    <row r="27" spans="2:7" x14ac:dyDescent="0.35">
      <c r="B27" s="42" t="s">
        <v>67</v>
      </c>
      <c r="C27" s="25" t="s">
        <v>68</v>
      </c>
      <c r="D27" s="39">
        <v>27790</v>
      </c>
      <c r="E27" s="39">
        <v>27926</v>
      </c>
      <c r="F27" s="45">
        <v>136</v>
      </c>
      <c r="G27" s="36">
        <f t="shared" si="0"/>
        <v>23</v>
      </c>
    </row>
    <row r="28" spans="2:7" x14ac:dyDescent="0.35">
      <c r="B28" s="43" t="s">
        <v>69</v>
      </c>
      <c r="C28" s="28" t="s">
        <v>70</v>
      </c>
      <c r="D28" s="40">
        <v>20696</v>
      </c>
      <c r="E28" s="40">
        <v>20768</v>
      </c>
      <c r="F28" s="46">
        <v>72</v>
      </c>
      <c r="G28" s="37">
        <f t="shared" si="0"/>
        <v>24</v>
      </c>
    </row>
    <row r="29" spans="2:7" x14ac:dyDescent="0.35">
      <c r="B29" s="42" t="s">
        <v>37</v>
      </c>
      <c r="C29" s="25" t="s">
        <v>38</v>
      </c>
      <c r="D29" s="39">
        <v>10045</v>
      </c>
      <c r="E29" s="39">
        <v>10100</v>
      </c>
      <c r="F29" s="45">
        <v>55</v>
      </c>
      <c r="G29" s="36">
        <f t="shared" si="0"/>
        <v>25</v>
      </c>
    </row>
    <row r="30" spans="2:7" x14ac:dyDescent="0.35">
      <c r="B30" s="43" t="s">
        <v>17</v>
      </c>
      <c r="C30" s="28" t="s">
        <v>18</v>
      </c>
      <c r="D30" s="40">
        <v>23494</v>
      </c>
      <c r="E30" s="40">
        <v>23548</v>
      </c>
      <c r="F30" s="46">
        <v>54</v>
      </c>
      <c r="G30" s="37">
        <f t="shared" si="0"/>
        <v>26</v>
      </c>
    </row>
    <row r="31" spans="2:7" x14ac:dyDescent="0.35">
      <c r="B31" s="42" t="s">
        <v>43</v>
      </c>
      <c r="C31" s="25" t="s">
        <v>44</v>
      </c>
      <c r="D31" s="39">
        <v>12313</v>
      </c>
      <c r="E31" s="39">
        <v>12359</v>
      </c>
      <c r="F31" s="45">
        <v>46</v>
      </c>
      <c r="G31" s="36">
        <f t="shared" si="0"/>
        <v>27</v>
      </c>
    </row>
    <row r="32" spans="2:7" x14ac:dyDescent="0.35">
      <c r="B32" s="43" t="s">
        <v>63</v>
      </c>
      <c r="C32" s="28" t="s">
        <v>64</v>
      </c>
      <c r="D32" s="40">
        <v>15095</v>
      </c>
      <c r="E32" s="40">
        <v>15141</v>
      </c>
      <c r="F32" s="46">
        <v>46</v>
      </c>
      <c r="G32" s="37">
        <f t="shared" si="0"/>
        <v>27</v>
      </c>
    </row>
    <row r="33" spans="2:7" x14ac:dyDescent="0.35">
      <c r="B33" s="42" t="s">
        <v>39</v>
      </c>
      <c r="C33" s="25" t="s">
        <v>40</v>
      </c>
      <c r="D33" s="39">
        <v>9886</v>
      </c>
      <c r="E33" s="39">
        <v>9914</v>
      </c>
      <c r="F33" s="45">
        <v>28</v>
      </c>
      <c r="G33" s="36">
        <f t="shared" si="0"/>
        <v>29</v>
      </c>
    </row>
    <row r="34" spans="2:7" x14ac:dyDescent="0.35">
      <c r="B34" s="43" t="s">
        <v>9</v>
      </c>
      <c r="C34" s="28" t="s">
        <v>10</v>
      </c>
      <c r="D34" s="40">
        <v>12897</v>
      </c>
      <c r="E34" s="40">
        <v>12880</v>
      </c>
      <c r="F34" s="46">
        <v>-17</v>
      </c>
      <c r="G34" s="37">
        <f t="shared" si="0"/>
        <v>30</v>
      </c>
    </row>
    <row r="35" spans="2:7" x14ac:dyDescent="0.35">
      <c r="B35" s="42" t="s">
        <v>27</v>
      </c>
      <c r="C35" s="25" t="s">
        <v>28</v>
      </c>
      <c r="D35" s="39">
        <v>23193</v>
      </c>
      <c r="E35" s="39">
        <v>23141</v>
      </c>
      <c r="F35" s="45">
        <v>-52</v>
      </c>
      <c r="G35" s="36">
        <f t="shared" si="0"/>
        <v>31</v>
      </c>
    </row>
    <row r="36" spans="2:7" x14ac:dyDescent="0.35">
      <c r="B36" s="43" t="s">
        <v>29</v>
      </c>
      <c r="C36" s="28" t="s">
        <v>30</v>
      </c>
      <c r="D36" s="40">
        <v>13085</v>
      </c>
      <c r="E36" s="40">
        <v>12975</v>
      </c>
      <c r="F36" s="46">
        <v>-110</v>
      </c>
      <c r="G36" s="37">
        <f t="shared" si="0"/>
        <v>32</v>
      </c>
    </row>
    <row r="37" spans="2:7" x14ac:dyDescent="0.35">
      <c r="B37" s="42" t="s">
        <v>7</v>
      </c>
      <c r="C37" s="25" t="s">
        <v>8</v>
      </c>
      <c r="D37" s="39">
        <v>14554</v>
      </c>
      <c r="E37" s="39">
        <v>14427</v>
      </c>
      <c r="F37" s="45">
        <v>-127</v>
      </c>
      <c r="G37" s="36">
        <f t="shared" si="0"/>
        <v>33</v>
      </c>
    </row>
    <row r="38" spans="2:7" x14ac:dyDescent="0.35">
      <c r="B38" s="43" t="s">
        <v>73</v>
      </c>
      <c r="C38" s="28" t="s">
        <v>74</v>
      </c>
      <c r="D38" s="40">
        <v>29648</v>
      </c>
      <c r="E38" s="40">
        <v>29235</v>
      </c>
      <c r="F38" s="46">
        <v>-413</v>
      </c>
      <c r="G38" s="37">
        <f t="shared" si="0"/>
        <v>34</v>
      </c>
    </row>
    <row r="39" spans="2:7" x14ac:dyDescent="0.35">
      <c r="B39" s="42" t="s">
        <v>11</v>
      </c>
      <c r="C39" s="25" t="s">
        <v>12</v>
      </c>
      <c r="D39" s="39">
        <v>20206</v>
      </c>
      <c r="E39" s="39">
        <v>19711</v>
      </c>
      <c r="F39" s="45">
        <v>-495</v>
      </c>
      <c r="G39" s="36">
        <f t="shared" si="0"/>
        <v>35</v>
      </c>
    </row>
    <row r="40" spans="2:7" x14ac:dyDescent="0.35">
      <c r="B40" s="44" t="s">
        <v>49</v>
      </c>
      <c r="C40" s="32" t="s">
        <v>50</v>
      </c>
      <c r="D40" s="41">
        <v>20182</v>
      </c>
      <c r="E40" s="41">
        <v>19608</v>
      </c>
      <c r="F40" s="47">
        <v>-574</v>
      </c>
      <c r="G40" s="38">
        <f t="shared" si="0"/>
        <v>36</v>
      </c>
    </row>
  </sheetData>
  <mergeCells count="1"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0A9F-8D03-44A6-BD46-013EF2BCE02A}">
  <dimension ref="B1:G37"/>
  <sheetViews>
    <sheetView zoomScale="115" zoomScaleNormal="115" workbookViewId="0">
      <selection activeCell="K6" sqref="K6"/>
    </sheetView>
  </sheetViews>
  <sheetFormatPr defaultRowHeight="14.5" x14ac:dyDescent="0.35"/>
  <cols>
    <col min="3" max="3" width="17.90625" customWidth="1"/>
    <col min="4" max="4" width="17.36328125" customWidth="1"/>
  </cols>
  <sheetData>
    <row r="1" spans="2:7" ht="52" x14ac:dyDescent="0.35">
      <c r="B1" s="97" t="s">
        <v>0</v>
      </c>
      <c r="C1" s="99" t="s">
        <v>1</v>
      </c>
      <c r="D1" s="101" t="s">
        <v>210</v>
      </c>
      <c r="E1" s="99" t="s">
        <v>142</v>
      </c>
      <c r="F1" s="101" t="s">
        <v>173</v>
      </c>
      <c r="G1" s="101" t="s">
        <v>79</v>
      </c>
    </row>
    <row r="2" spans="2:7" x14ac:dyDescent="0.35">
      <c r="B2" s="96" t="s">
        <v>11</v>
      </c>
      <c r="C2" s="98" t="s">
        <v>174</v>
      </c>
      <c r="D2" s="100">
        <f>INDEX('(5) Cula'!$N$5:$N$40,MATCH($B2,'(5) Cula'!$B$5:$B$40,0))</f>
        <v>4880</v>
      </c>
      <c r="E2" s="100">
        <v>6836</v>
      </c>
      <c r="F2" s="102">
        <f t="shared" ref="F2:F37" si="0">D2-E2</f>
        <v>-1956</v>
      </c>
      <c r="G2" s="39">
        <v>1</v>
      </c>
    </row>
    <row r="3" spans="2:7" x14ac:dyDescent="0.35">
      <c r="B3" s="33" t="s">
        <v>13</v>
      </c>
      <c r="C3" s="22" t="s">
        <v>175</v>
      </c>
      <c r="D3" s="39">
        <f>INDEX('(5) Cula'!$N$5:$N$40,MATCH($B3,'(5) Cula'!$B$5:$B$40,0))</f>
        <v>2346</v>
      </c>
      <c r="E3" s="39">
        <v>4623</v>
      </c>
      <c r="F3" s="45">
        <f t="shared" si="0"/>
        <v>-2277</v>
      </c>
      <c r="G3" s="39">
        <v>2</v>
      </c>
    </row>
    <row r="4" spans="2:7" x14ac:dyDescent="0.35">
      <c r="B4" s="33" t="s">
        <v>9</v>
      </c>
      <c r="C4" s="22" t="s">
        <v>176</v>
      </c>
      <c r="D4" s="39">
        <f>INDEX('(5) Cula'!$N$5:$N$40,MATCH($B4,'(5) Cula'!$B$5:$B$40,0))</f>
        <v>1421</v>
      </c>
      <c r="E4" s="39">
        <v>4467</v>
      </c>
      <c r="F4" s="45">
        <f t="shared" si="0"/>
        <v>-3046</v>
      </c>
      <c r="G4" s="40">
        <v>3</v>
      </c>
    </row>
    <row r="5" spans="2:7" x14ac:dyDescent="0.35">
      <c r="B5" s="34" t="s">
        <v>39</v>
      </c>
      <c r="C5" s="26" t="s">
        <v>191</v>
      </c>
      <c r="D5" s="40">
        <f>INDEX('(5) Cula'!$N$5:$N$40,MATCH($B5,'(5) Cula'!$B$5:$B$40,0))</f>
        <v>263</v>
      </c>
      <c r="E5" s="40">
        <v>3438</v>
      </c>
      <c r="F5" s="46">
        <f t="shared" si="0"/>
        <v>-3175</v>
      </c>
      <c r="G5" s="39">
        <v>4</v>
      </c>
    </row>
    <row r="6" spans="2:7" x14ac:dyDescent="0.35">
      <c r="B6" s="33" t="s">
        <v>37</v>
      </c>
      <c r="C6" s="22" t="s">
        <v>195</v>
      </c>
      <c r="D6" s="39">
        <f>INDEX('(5) Cula'!$N$5:$N$40,MATCH($B6,'(5) Cula'!$B$5:$B$40,0))</f>
        <v>229</v>
      </c>
      <c r="E6" s="39">
        <v>3503</v>
      </c>
      <c r="F6" s="45">
        <f t="shared" si="0"/>
        <v>-3274</v>
      </c>
      <c r="G6" s="40">
        <v>5</v>
      </c>
    </row>
    <row r="7" spans="2:7" x14ac:dyDescent="0.35">
      <c r="B7" s="34" t="s">
        <v>43</v>
      </c>
      <c r="C7" s="26" t="s">
        <v>182</v>
      </c>
      <c r="D7" s="40">
        <f>INDEX('(5) Cula'!$N$5:$N$40,MATCH($B7,'(5) Cula'!$B$5:$B$40,0))</f>
        <v>713</v>
      </c>
      <c r="E7" s="40">
        <v>4286</v>
      </c>
      <c r="F7" s="46">
        <f t="shared" si="0"/>
        <v>-3573</v>
      </c>
      <c r="G7" s="39">
        <v>6</v>
      </c>
    </row>
    <row r="8" spans="2:7" x14ac:dyDescent="0.35">
      <c r="B8" s="33" t="s">
        <v>7</v>
      </c>
      <c r="C8" s="22" t="s">
        <v>181</v>
      </c>
      <c r="D8" s="39">
        <f>INDEX('(5) Cula'!$N$5:$N$40,MATCH($B8,'(5) Cula'!$B$5:$B$40,0))</f>
        <v>923</v>
      </c>
      <c r="E8" s="39">
        <v>5003</v>
      </c>
      <c r="F8" s="45">
        <f t="shared" si="0"/>
        <v>-4080</v>
      </c>
      <c r="G8" s="39">
        <v>7</v>
      </c>
    </row>
    <row r="9" spans="2:7" x14ac:dyDescent="0.35">
      <c r="B9" s="34" t="s">
        <v>29</v>
      </c>
      <c r="C9" s="26" t="s">
        <v>200</v>
      </c>
      <c r="D9" s="40">
        <f>INDEX('(5) Cula'!$N$5:$N$40,MATCH($B9,'(5) Cula'!$B$5:$B$40,0))</f>
        <v>223</v>
      </c>
      <c r="E9" s="40">
        <v>4500</v>
      </c>
      <c r="F9" s="46">
        <f t="shared" si="0"/>
        <v>-4277</v>
      </c>
      <c r="G9" s="40">
        <v>8</v>
      </c>
    </row>
    <row r="10" spans="2:7" x14ac:dyDescent="0.35">
      <c r="B10" s="34" t="s">
        <v>35</v>
      </c>
      <c r="C10" s="26" t="s">
        <v>194</v>
      </c>
      <c r="D10" s="40">
        <f>INDEX('(5) Cula'!$N$5:$N$40,MATCH($B10,'(5) Cula'!$B$5:$B$40,0))</f>
        <v>330</v>
      </c>
      <c r="E10" s="40">
        <v>4740</v>
      </c>
      <c r="F10" s="46">
        <f t="shared" si="0"/>
        <v>-4410</v>
      </c>
      <c r="G10" s="39">
        <v>9</v>
      </c>
    </row>
    <row r="11" spans="2:7" x14ac:dyDescent="0.35">
      <c r="B11" s="33" t="s">
        <v>19</v>
      </c>
      <c r="C11" s="22" t="s">
        <v>180</v>
      </c>
      <c r="D11" s="39">
        <f>INDEX('(5) Cula'!$N$5:$N$40,MATCH($B11,'(5) Cula'!$B$5:$B$40,0))</f>
        <v>1068</v>
      </c>
      <c r="E11" s="39">
        <v>5736</v>
      </c>
      <c r="F11" s="45">
        <f t="shared" si="0"/>
        <v>-4668</v>
      </c>
      <c r="G11" s="40">
        <v>10</v>
      </c>
    </row>
    <row r="12" spans="2:7" x14ac:dyDescent="0.35">
      <c r="B12" s="34" t="s">
        <v>63</v>
      </c>
      <c r="C12" s="26" t="s">
        <v>205</v>
      </c>
      <c r="D12" s="40">
        <f>INDEX('(5) Cula'!$N$5:$N$40,MATCH($B12,'(5) Cula'!$B$5:$B$40,0))</f>
        <v>103</v>
      </c>
      <c r="E12" s="40">
        <v>5251</v>
      </c>
      <c r="F12" s="46">
        <f t="shared" si="0"/>
        <v>-5148</v>
      </c>
      <c r="G12" s="39">
        <v>11</v>
      </c>
    </row>
    <row r="13" spans="2:7" x14ac:dyDescent="0.35">
      <c r="B13" s="34" t="s">
        <v>61</v>
      </c>
      <c r="C13" s="26" t="s">
        <v>192</v>
      </c>
      <c r="D13" s="40">
        <f>INDEX('(5) Cula'!$N$5:$N$40,MATCH($B13,'(5) Cula'!$B$5:$B$40,0))</f>
        <v>435</v>
      </c>
      <c r="E13" s="40">
        <v>5802</v>
      </c>
      <c r="F13" s="46">
        <f t="shared" si="0"/>
        <v>-5367</v>
      </c>
      <c r="G13" s="39">
        <v>12</v>
      </c>
    </row>
    <row r="14" spans="2:7" x14ac:dyDescent="0.35">
      <c r="B14" s="34" t="s">
        <v>17</v>
      </c>
      <c r="C14" s="26" t="s">
        <v>177</v>
      </c>
      <c r="D14" s="40">
        <f>INDEX('(5) Cula'!$N$5:$N$40,MATCH($B14,'(5) Cula'!$B$5:$B$40,0))</f>
        <v>2551</v>
      </c>
      <c r="E14" s="40">
        <v>8167</v>
      </c>
      <c r="F14" s="46">
        <f t="shared" si="0"/>
        <v>-5616</v>
      </c>
      <c r="G14" s="40">
        <v>13</v>
      </c>
    </row>
    <row r="15" spans="2:7" x14ac:dyDescent="0.35">
      <c r="B15" s="33" t="s">
        <v>41</v>
      </c>
      <c r="C15" s="22" t="s">
        <v>197</v>
      </c>
      <c r="D15" s="39">
        <f>INDEX('(5) Cula'!$N$5:$N$40,MATCH($B15,'(5) Cula'!$B$5:$B$40,0))</f>
        <v>347</v>
      </c>
      <c r="E15" s="39">
        <v>6230</v>
      </c>
      <c r="F15" s="45">
        <f t="shared" si="0"/>
        <v>-5883</v>
      </c>
      <c r="G15" s="39">
        <v>14</v>
      </c>
    </row>
    <row r="16" spans="2:7" x14ac:dyDescent="0.35">
      <c r="B16" s="34" t="s">
        <v>71</v>
      </c>
      <c r="C16" s="26" t="s">
        <v>186</v>
      </c>
      <c r="D16" s="40">
        <f>INDEX('(5) Cula'!$N$5:$N$40,MATCH($B16,'(5) Cula'!$B$5:$B$40,0))</f>
        <v>802</v>
      </c>
      <c r="E16" s="40">
        <v>6792</v>
      </c>
      <c r="F16" s="46">
        <f t="shared" si="0"/>
        <v>-5990</v>
      </c>
      <c r="G16" s="40">
        <v>15</v>
      </c>
    </row>
    <row r="17" spans="2:7" x14ac:dyDescent="0.35">
      <c r="B17" s="33" t="s">
        <v>69</v>
      </c>
      <c r="C17" s="22" t="s">
        <v>183</v>
      </c>
      <c r="D17" s="39">
        <f>INDEX('(5) Cula'!$N$5:$N$40,MATCH($B17,'(5) Cula'!$B$5:$B$40,0))</f>
        <v>1128</v>
      </c>
      <c r="E17" s="39">
        <v>7202</v>
      </c>
      <c r="F17" s="45">
        <f t="shared" si="0"/>
        <v>-6074</v>
      </c>
      <c r="G17" s="39">
        <v>16</v>
      </c>
    </row>
    <row r="18" spans="2:7" x14ac:dyDescent="0.35">
      <c r="B18" s="34" t="s">
        <v>33</v>
      </c>
      <c r="C18" s="26" t="s">
        <v>188</v>
      </c>
      <c r="D18" s="40">
        <f>INDEX('(5) Cula'!$N$5:$N$40,MATCH($B18,'(5) Cula'!$B$5:$B$40,0))</f>
        <v>805</v>
      </c>
      <c r="E18" s="40">
        <v>7400</v>
      </c>
      <c r="F18" s="46">
        <f t="shared" si="0"/>
        <v>-6595</v>
      </c>
      <c r="G18" s="39">
        <v>17</v>
      </c>
    </row>
    <row r="19" spans="2:7" x14ac:dyDescent="0.35">
      <c r="B19" s="33" t="s">
        <v>49</v>
      </c>
      <c r="C19" s="22" t="s">
        <v>204</v>
      </c>
      <c r="D19" s="39">
        <f>INDEX('(5) Cula'!$N$5:$N$40,MATCH($B19,'(5) Cula'!$B$5:$B$40,0))</f>
        <v>158</v>
      </c>
      <c r="E19" s="39">
        <v>6800</v>
      </c>
      <c r="F19" s="45">
        <f t="shared" si="0"/>
        <v>-6642</v>
      </c>
      <c r="G19" s="40">
        <v>18</v>
      </c>
    </row>
    <row r="20" spans="2:7" x14ac:dyDescent="0.35">
      <c r="B20" s="34" t="s">
        <v>15</v>
      </c>
      <c r="C20" s="26" t="s">
        <v>178</v>
      </c>
      <c r="D20" s="40">
        <f>INDEX('(5) Cula'!$N$5:$N$40,MATCH($B20,'(5) Cula'!$B$5:$B$40,0))</f>
        <v>3273</v>
      </c>
      <c r="E20" s="40">
        <v>10610</v>
      </c>
      <c r="F20" s="46">
        <f t="shared" si="0"/>
        <v>-7337</v>
      </c>
      <c r="G20" s="39">
        <v>19</v>
      </c>
    </row>
    <row r="21" spans="2:7" x14ac:dyDescent="0.35">
      <c r="B21" s="34" t="s">
        <v>21</v>
      </c>
      <c r="C21" s="26" t="s">
        <v>187</v>
      </c>
      <c r="D21" s="40">
        <f>INDEX('(5) Cula'!$N$5:$N$40,MATCH($B21,'(5) Cula'!$B$5:$B$40,0))</f>
        <v>1039</v>
      </c>
      <c r="E21" s="40">
        <v>9000</v>
      </c>
      <c r="F21" s="46">
        <f t="shared" si="0"/>
        <v>-7961</v>
      </c>
      <c r="G21" s="40">
        <v>20</v>
      </c>
    </row>
    <row r="22" spans="2:7" x14ac:dyDescent="0.35">
      <c r="B22" s="33" t="s">
        <v>75</v>
      </c>
      <c r="C22" s="22" t="s">
        <v>190</v>
      </c>
      <c r="D22" s="39">
        <f>INDEX('(5) Cula'!$N$5:$N$40,MATCH($B22,'(5) Cula'!$B$5:$B$40,0))</f>
        <v>664</v>
      </c>
      <c r="E22" s="39">
        <v>8628</v>
      </c>
      <c r="F22" s="45">
        <f t="shared" si="0"/>
        <v>-7964</v>
      </c>
      <c r="G22" s="39">
        <v>21</v>
      </c>
    </row>
    <row r="23" spans="2:7" x14ac:dyDescent="0.35">
      <c r="B23" s="33" t="s">
        <v>27</v>
      </c>
      <c r="C23" s="22" t="s">
        <v>209</v>
      </c>
      <c r="D23" s="39">
        <f>INDEX('(5) Cula'!$N$5:$N$40,MATCH($B23,'(5) Cula'!$B$5:$B$40,0))</f>
        <v>31</v>
      </c>
      <c r="E23" s="39">
        <v>8025</v>
      </c>
      <c r="F23" s="45">
        <f t="shared" si="0"/>
        <v>-7994</v>
      </c>
      <c r="G23" s="39">
        <v>22</v>
      </c>
    </row>
    <row r="24" spans="2:7" x14ac:dyDescent="0.35">
      <c r="B24" s="33" t="s">
        <v>57</v>
      </c>
      <c r="C24" s="22" t="s">
        <v>196</v>
      </c>
      <c r="D24" s="39">
        <f>INDEX('(5) Cula'!$N$5:$N$40,MATCH($B24,'(5) Cula'!$B$5:$B$40,0))</f>
        <v>534</v>
      </c>
      <c r="E24" s="39">
        <v>9169</v>
      </c>
      <c r="F24" s="45">
        <f t="shared" si="0"/>
        <v>-8635</v>
      </c>
      <c r="G24" s="40">
        <v>23</v>
      </c>
    </row>
    <row r="25" spans="2:7" x14ac:dyDescent="0.35">
      <c r="B25" s="33" t="s">
        <v>23</v>
      </c>
      <c r="C25" s="22" t="s">
        <v>189</v>
      </c>
      <c r="D25" s="39">
        <f>INDEX('(5) Cula'!$N$5:$N$40,MATCH($B25,'(5) Cula'!$B$5:$B$40,0))</f>
        <v>1010</v>
      </c>
      <c r="E25" s="39">
        <v>9943</v>
      </c>
      <c r="F25" s="45">
        <f t="shared" si="0"/>
        <v>-8933</v>
      </c>
      <c r="G25" s="39">
        <v>24</v>
      </c>
    </row>
    <row r="26" spans="2:7" x14ac:dyDescent="0.35">
      <c r="B26" s="33" t="s">
        <v>67</v>
      </c>
      <c r="C26" s="22" t="s">
        <v>193</v>
      </c>
      <c r="D26" s="39">
        <f>INDEX('(5) Cula'!$N$5:$N$40,MATCH($B26,'(5) Cula'!$B$5:$B$40,0))</f>
        <v>677</v>
      </c>
      <c r="E26" s="39">
        <v>9685</v>
      </c>
      <c r="F26" s="45">
        <f t="shared" si="0"/>
        <v>-9008</v>
      </c>
      <c r="G26" s="40">
        <v>25</v>
      </c>
    </row>
    <row r="27" spans="2:7" x14ac:dyDescent="0.35">
      <c r="B27" s="34" t="s">
        <v>65</v>
      </c>
      <c r="C27" s="26" t="s">
        <v>199</v>
      </c>
      <c r="D27" s="40">
        <f>INDEX('(5) Cula'!$N$5:$N$40,MATCH($B27,'(5) Cula'!$B$5:$B$40,0))</f>
        <v>486</v>
      </c>
      <c r="E27" s="40">
        <v>9714</v>
      </c>
      <c r="F27" s="46">
        <f t="shared" si="0"/>
        <v>-9228</v>
      </c>
      <c r="G27" s="39">
        <v>26</v>
      </c>
    </row>
    <row r="28" spans="2:7" x14ac:dyDescent="0.35">
      <c r="B28" s="34" t="s">
        <v>77</v>
      </c>
      <c r="C28" s="26" t="s">
        <v>203</v>
      </c>
      <c r="D28" s="40">
        <f>INDEX('(5) Cula'!$N$5:$N$40,MATCH($B28,'(5) Cula'!$B$5:$B$40,0))</f>
        <v>239</v>
      </c>
      <c r="E28" s="40">
        <v>9651</v>
      </c>
      <c r="F28" s="46">
        <f t="shared" si="0"/>
        <v>-9412</v>
      </c>
      <c r="G28" s="39">
        <v>27</v>
      </c>
    </row>
    <row r="29" spans="2:7" x14ac:dyDescent="0.35">
      <c r="B29" s="33" t="s">
        <v>31</v>
      </c>
      <c r="C29" s="22" t="s">
        <v>179</v>
      </c>
      <c r="D29" s="39">
        <f>INDEX('(5) Cula'!$N$5:$N$40,MATCH($B29,'(5) Cula'!$B$5:$B$40,0))</f>
        <v>2249</v>
      </c>
      <c r="E29" s="39">
        <v>11751</v>
      </c>
      <c r="F29" s="45">
        <f t="shared" si="0"/>
        <v>-9502</v>
      </c>
      <c r="G29" s="40">
        <v>28</v>
      </c>
    </row>
    <row r="30" spans="2:7" x14ac:dyDescent="0.35">
      <c r="B30" s="33" t="s">
        <v>45</v>
      </c>
      <c r="C30" s="22" t="s">
        <v>184</v>
      </c>
      <c r="D30" s="39">
        <f>INDEX('(5) Cula'!$N$5:$N$40,MATCH($B30,'(5) Cula'!$B$5:$B$40,0))</f>
        <v>1657</v>
      </c>
      <c r="E30" s="39">
        <v>11297</v>
      </c>
      <c r="F30" s="45">
        <f t="shared" si="0"/>
        <v>-9640</v>
      </c>
      <c r="G30" s="39">
        <v>29</v>
      </c>
    </row>
    <row r="31" spans="2:7" x14ac:dyDescent="0.35">
      <c r="B31" s="34" t="s">
        <v>73</v>
      </c>
      <c r="C31" s="26" t="s">
        <v>202</v>
      </c>
      <c r="D31" s="40">
        <f>INDEX('(5) Cula'!$N$5:$N$40,MATCH($B31,'(5) Cula'!$B$5:$B$40,0))</f>
        <v>350</v>
      </c>
      <c r="E31" s="40">
        <v>10139</v>
      </c>
      <c r="F31" s="46">
        <f t="shared" si="0"/>
        <v>-9789</v>
      </c>
      <c r="G31" s="40">
        <v>30</v>
      </c>
    </row>
    <row r="32" spans="2:7" x14ac:dyDescent="0.35">
      <c r="B32" s="33" t="s">
        <v>51</v>
      </c>
      <c r="C32" s="22" t="s">
        <v>208</v>
      </c>
      <c r="D32" s="39">
        <f>INDEX('(5) Cula'!$N$5:$N$40,MATCH($B32,'(5) Cula'!$B$5:$B$40,0))</f>
        <v>66</v>
      </c>
      <c r="E32" s="39">
        <v>10514</v>
      </c>
      <c r="F32" s="45">
        <f t="shared" si="0"/>
        <v>-10448</v>
      </c>
      <c r="G32" s="39">
        <v>31</v>
      </c>
    </row>
    <row r="33" spans="2:7" x14ac:dyDescent="0.35">
      <c r="B33" s="34" t="s">
        <v>53</v>
      </c>
      <c r="C33" s="26" t="s">
        <v>206</v>
      </c>
      <c r="D33" s="40">
        <f>INDEX('(5) Cula'!$N$5:$N$40,MATCH($B33,'(5) Cula'!$B$5:$B$40,0))</f>
        <v>130</v>
      </c>
      <c r="E33" s="40">
        <v>11409</v>
      </c>
      <c r="F33" s="46">
        <f t="shared" si="0"/>
        <v>-11279</v>
      </c>
      <c r="G33" s="39">
        <v>32</v>
      </c>
    </row>
    <row r="34" spans="2:7" x14ac:dyDescent="0.35">
      <c r="B34" s="34" t="s">
        <v>59</v>
      </c>
      <c r="C34" s="26" t="s">
        <v>201</v>
      </c>
      <c r="D34" s="40">
        <f>INDEX('(5) Cula'!$N$5:$N$40,MATCH($B34,'(5) Cula'!$B$5:$B$40,0))</f>
        <v>419</v>
      </c>
      <c r="E34" s="40">
        <v>12012</v>
      </c>
      <c r="F34" s="46">
        <f t="shared" si="0"/>
        <v>-11593</v>
      </c>
      <c r="G34" s="40">
        <v>33</v>
      </c>
    </row>
    <row r="35" spans="2:7" x14ac:dyDescent="0.35">
      <c r="B35" s="33" t="s">
        <v>25</v>
      </c>
      <c r="C35" s="22" t="s">
        <v>198</v>
      </c>
      <c r="D35" s="39">
        <f>INDEX('(5) Cula'!$N$5:$N$40,MATCH($B35,'(5) Cula'!$B$5:$B$40,0))</f>
        <v>873</v>
      </c>
      <c r="E35" s="39">
        <v>15775</v>
      </c>
      <c r="F35" s="45">
        <f t="shared" si="0"/>
        <v>-14902</v>
      </c>
      <c r="G35" s="39">
        <v>34</v>
      </c>
    </row>
    <row r="36" spans="2:7" x14ac:dyDescent="0.35">
      <c r="B36" s="34" t="s">
        <v>47</v>
      </c>
      <c r="C36" s="26" t="s">
        <v>207</v>
      </c>
      <c r="D36" s="40">
        <f>INDEX('(5) Cula'!$N$5:$N$40,MATCH($B36,'(5) Cula'!$B$5:$B$40,0))</f>
        <v>122</v>
      </c>
      <c r="E36" s="40">
        <v>17079</v>
      </c>
      <c r="F36" s="46">
        <f t="shared" si="0"/>
        <v>-16957</v>
      </c>
      <c r="G36" s="40">
        <v>35</v>
      </c>
    </row>
    <row r="37" spans="2:7" x14ac:dyDescent="0.35">
      <c r="B37" s="33" t="s">
        <v>55</v>
      </c>
      <c r="C37" s="22" t="s">
        <v>185</v>
      </c>
      <c r="D37" s="39">
        <f>INDEX('(5) Cula'!$N$5:$N$40,MATCH($B37,'(5) Cula'!$B$5:$B$40,0))</f>
        <v>3268</v>
      </c>
      <c r="E37" s="39">
        <v>22397</v>
      </c>
      <c r="F37" s="45">
        <f t="shared" si="0"/>
        <v>-19129</v>
      </c>
      <c r="G37" s="39">
        <v>36</v>
      </c>
    </row>
  </sheetData>
  <sortState xmlns:xlrd2="http://schemas.microsoft.com/office/spreadsheetml/2017/richdata2" ref="B2:G38">
    <sortCondition ref="G2:G3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</vt:lpstr>
      <vt:lpstr>(1) Majoriti</vt:lpstr>
      <vt:lpstr>(2) Pengundi &amp; % Melayu</vt:lpstr>
      <vt:lpstr>(3) SKT 51%</vt:lpstr>
      <vt:lpstr>(4) BKC vs modal PRU15</vt:lpstr>
      <vt:lpstr>(5) Cula</vt:lpstr>
      <vt:lpstr>(6) Perbezaan pengundi</vt:lpstr>
      <vt:lpstr>(7) Cula vs SKT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ABD RAHMAN</dc:creator>
  <cp:lastModifiedBy>FIRDAUS ABD RAHMAN</cp:lastModifiedBy>
  <dcterms:created xsi:type="dcterms:W3CDTF">2026-06-05T04:13:09Z</dcterms:created>
  <dcterms:modified xsi:type="dcterms:W3CDTF">2026-06-13T02:55:12Z</dcterms:modified>
</cp:coreProperties>
</file>